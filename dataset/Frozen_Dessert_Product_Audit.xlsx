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_Audit" sheetId="1" state="visible" r:id="rId3"/>
    <sheet name="Validation_Summary" sheetId="2" state="visible" r:id="rId4"/>
    <sheet name="Category_Summary" sheetId="3" state="visible" r:id="rId5"/>
  </sheets>
  <definedNames>
    <definedName function="false" hidden="true" localSheetId="0" name="_xlnm._FilterDatabase" vbProcedure="false">Product_Audit!$A$1:$R$91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<sst xmlns="http://schemas.openxmlformats.org/spreadsheetml/2006/main" count="1656" uniqueCount="440">
  <si>
    <t xml:space="preserve">SKU</t>
  </si>
  <si>
    <t xml:space="preserve">Category</t>
  </si>
  <si>
    <t xml:space="preserve">Product Name</t>
  </si>
  <si>
    <t xml:space="preserve">Flavor</t>
  </si>
  <si>
    <t xml:space="preserve">Ingredients</t>
  </si>
  <si>
    <t xml:space="preserve">Allergens</t>
  </si>
  <si>
    <t xml:space="preserve">Nutrition Facts Status</t>
  </si>
  <si>
    <t xml:space="preserve">Net Weight</t>
  </si>
  <si>
    <t xml:space="preserve">Serving Size</t>
  </si>
  <si>
    <t xml:space="preserve">Storage Temperature</t>
  </si>
  <si>
    <t xml:space="preserve">Shelf Life</t>
  </si>
  <si>
    <t xml:space="preserve">Country of Sale</t>
  </si>
  <si>
    <t xml:space="preserve">Packaging Type</t>
  </si>
  <si>
    <t xml:space="preserve">Barcode Status</t>
  </si>
  <si>
    <t xml:space="preserve">Product Description Status</t>
  </si>
  <si>
    <t xml:space="preserve">Mandatory Attributes Status</t>
  </si>
  <si>
    <t xml:space="preserve">Launch Status</t>
  </si>
  <si>
    <t xml:space="preserve">Validation Result</t>
  </si>
  <si>
    <t xml:space="preserve">FD-TUB-1001</t>
  </si>
  <si>
    <t xml:space="preserve">Ice Cream Tubs</t>
  </si>
  <si>
    <t xml:space="preserve">Chocolate Ice Cream</t>
  </si>
  <si>
    <t xml:space="preserve">Chocolate</t>
  </si>
  <si>
    <t xml:space="preserve">Milk, cream, sugar, skim milk powder, glucose syrup, emulsifier (mono- and diglycerides of fatty acids), stabilizers (locust bean gum, guar gum, carrageenan), cocoa powder (4%), natural flavor</t>
  </si>
  <si>
    <t xml:space="preserve">Milk</t>
  </si>
  <si>
    <t xml:space="preserve">Complete</t>
  </si>
  <si>
    <t xml:space="preserve">473 mL</t>
  </si>
  <si>
    <t xml:space="preserve">2/3 cup (95 g)</t>
  </si>
  <si>
    <t xml:space="preserve">-18°C</t>
  </si>
  <si>
    <t xml:space="preserve">12 months</t>
  </si>
  <si>
    <t xml:space="preserve">United States</t>
  </si>
  <si>
    <t xml:space="preserve">Paperboard tub with PP lid</t>
  </si>
  <si>
    <t xml:space="preserve">Missing</t>
  </si>
  <si>
    <t xml:space="preserve">Incomplete</t>
  </si>
  <si>
    <t xml:space="preserve">Blocked</t>
  </si>
  <si>
    <t xml:space="preserve">Blocked: Barcode missing</t>
  </si>
  <si>
    <t xml:space="preserve">FD-TUB-1002</t>
  </si>
  <si>
    <t xml:space="preserve">Vanilla Bean Ice Cream</t>
  </si>
  <si>
    <t xml:space="preserve">Vanilla</t>
  </si>
  <si>
    <t xml:space="preserve">Milk, cream, sugar, skim milk powder, glucose syrup, emulsifier (mono- and diglycerides of fatty acids), stabilizers (locust bean gum, guar gum, carrageenan), egg yolk, natural vanilla extract, ground vanilla bean</t>
  </si>
  <si>
    <t xml:space="preserve">Milk, Eggs</t>
  </si>
  <si>
    <t xml:space="preserve">500 mL</t>
  </si>
  <si>
    <t xml:space="preserve">2/3 cup (250 g)</t>
  </si>
  <si>
    <t xml:space="preserve">18 months</t>
  </si>
  <si>
    <t xml:space="preserve">Brazil</t>
  </si>
  <si>
    <t xml:space="preserve">Valid</t>
  </si>
  <si>
    <t xml:space="preserve">Warning</t>
  </si>
  <si>
    <t xml:space="preserve">Warning: Serving size inconsistent</t>
  </si>
  <si>
    <t xml:space="preserve">FD-TUB-1003</t>
  </si>
  <si>
    <t xml:space="preserve">Strawberry Ice Cream</t>
  </si>
  <si>
    <t xml:space="preserve">Strawberry</t>
  </si>
  <si>
    <t xml:space="preserve">Milk, cream, sugar, skim milk powder, glucose syrup, emulsifier (mono- and diglycerides of fatty acids), stabilizers (locust bean gum, guar gum, carrageenan), strawberries (12%), strawberry puree, beet juice concentrate (color), natural flavor</t>
  </si>
  <si>
    <t xml:space="preserve">1 L</t>
  </si>
  <si>
    <t xml:space="preserve">Approved</t>
  </si>
  <si>
    <t xml:space="preserve">Approved: All mandatory data complete</t>
  </si>
  <si>
    <t xml:space="preserve">FD-TUB-1004</t>
  </si>
  <si>
    <t xml:space="preserve">Pistachio Gelato</t>
  </si>
  <si>
    <t xml:space="preserve">Pistachio</t>
  </si>
  <si>
    <t xml:space="preserve">Whole milk, sugar, cream, skim milk powder, dextrose, stabilizers (locust bean gum, guar gum), pistachio paste (8%), roasted pistachios, salt</t>
  </si>
  <si>
    <t xml:space="preserve">Milk, Tree Nuts (Pistachio)</t>
  </si>
  <si>
    <t xml:space="preserve">2/3 cup (100 g)</t>
  </si>
  <si>
    <t xml:space="preserve">15 months</t>
  </si>
  <si>
    <t xml:space="preserve">FD-TUB-1005</t>
  </si>
  <si>
    <t xml:space="preserve">Salted Caramel Ice Cream</t>
  </si>
  <si>
    <t xml:space="preserve">Salted Caramel</t>
  </si>
  <si>
    <t xml:space="preserve">Milk, cream, sugar, skim milk powder, glucose syrup, emulsifier (mono- and diglycerides of fatty acids), stabilizers (locust bean gum, guar gum, carrageenan), caramel sauce (sugar, glucose syrup, cream, butter, salt) (10%), sea salt</t>
  </si>
  <si>
    <t xml:space="preserve">FD-TUB-1006</t>
  </si>
  <si>
    <t xml:space="preserve">Cookies &amp; Cream Ice Cream</t>
  </si>
  <si>
    <t xml:space="preserve">Cookies &amp; Cream</t>
  </si>
  <si>
    <t xml:space="preserve">Milk, cream, sugar, skim milk powder, glucose syrup, emulsifier (mono- and diglycerides of fatty acids), stabilizers (locust bean gum, guar gum, carrageenan), chocolate cookie pieces (wheat flour, sugar, palm oil, cocoa powder, soy lecithin, sodium bicarbonate, salt) (9%), natural vanilla flavor</t>
  </si>
  <si>
    <t xml:space="preserve">Milk, Wheat, Soy</t>
  </si>
  <si>
    <t xml:space="preserve">Warning: Shelf life missing</t>
  </si>
  <si>
    <t xml:space="preserve">FD-TUB-1007</t>
  </si>
  <si>
    <t xml:space="preserve">Mint Chocolate Chip Ice Cream</t>
  </si>
  <si>
    <t xml:space="preserve">Mint Chocolate Chip</t>
  </si>
  <si>
    <t xml:space="preserve">Milk, cream, sugar, skim milk powder, glucose syrup, emulsifier (mono- and diglycerides of fatty acids), stabilizers (locust bean gum, guar gum, carrageenan), dark chocolate chips (sugar, cocoa mass, cocoa butter, soy lecithin) (7%), natural peppermint oil, spirulina extract (color)</t>
  </si>
  <si>
    <t xml:space="preserve">Milk, Soy</t>
  </si>
  <si>
    <t xml:space="preserve">Canada</t>
  </si>
  <si>
    <t xml:space="preserve">FD-TUB-1008</t>
  </si>
  <si>
    <t xml:space="preserve">Coffee Ice Cream</t>
  </si>
  <si>
    <t xml:space="preserve">Coffee</t>
  </si>
  <si>
    <t xml:space="preserve">Milk, cream, sugar, skim milk powder, glucose syrup, emulsifier (mono- and diglycerides of fatty acids), stabilizers (locust bean gum, guar gum, carrageenan), coffee extract (2%), soluble coffee</t>
  </si>
  <si>
    <t xml:space="preserve">1.5 L</t>
  </si>
  <si>
    <t xml:space="preserve">Warning: Product description incomplete</t>
  </si>
  <si>
    <t xml:space="preserve">FD-TUB-1009</t>
  </si>
  <si>
    <t xml:space="preserve">Hazelnut Gelato</t>
  </si>
  <si>
    <t xml:space="preserve">Hazelnut</t>
  </si>
  <si>
    <t xml:space="preserve">Whole milk, sugar, cream, skim milk powder, dextrose, stabilizers (locust bean gum, guar gum), hazelnut paste (10%), roasted hazelnut pieces</t>
  </si>
  <si>
    <t xml:space="preserve">Milk, Tree Nuts (Hazelnut)</t>
  </si>
  <si>
    <t xml:space="preserve">-20°C</t>
  </si>
  <si>
    <t xml:space="preserve">FD-TUB-1010</t>
  </si>
  <si>
    <t xml:space="preserve">Dulce de Leche Ice Cream</t>
  </si>
  <si>
    <t xml:space="preserve">Dulce de Leche</t>
  </si>
  <si>
    <t xml:space="preserve">Milk, cream, sugar, skim milk powder, glucose syrup, emulsifier (mono- and diglycerides of fatty acids), stabilizers (locust bean gum, guar gum, carrageenan), dulce de leche swirl (sweetened condensed milk, sugar, sodium bicarbonate) (12%)</t>
  </si>
  <si>
    <t xml:space="preserve">Blocked: Missing allergen declaration</t>
  </si>
  <si>
    <t xml:space="preserve">FD-TUB-1011</t>
  </si>
  <si>
    <t xml:space="preserve">Rocky Road Ice Cream</t>
  </si>
  <si>
    <t xml:space="preserve">Rocky Road</t>
  </si>
  <si>
    <t xml:space="preserve">Milk, cream, sugar, skim milk powder, glucose syrup, emulsifier (mono- and diglycerides of fatty acids), stabilizers (locust bean gum, guar gum, carrageenan), cocoa powder, mini marshmallows (sugar, glucose syrup, water, gelatin, natural flavor), roasted almonds (5%), chocolate flakes (sugar, cocoa mass, cocoa butter, soy lecithin)</t>
  </si>
  <si>
    <t xml:space="preserve">FD-TUB-1012</t>
  </si>
  <si>
    <t xml:space="preserve">Butter Pecan Ice Cream</t>
  </si>
  <si>
    <t xml:space="preserve">Butter Pecan</t>
  </si>
  <si>
    <t xml:space="preserve">Milk, cream, sugar, skim milk powder, glucose syrup, emulsifier (mono- and diglycerides of fatty acids), stabilizers (locust bean gum, guar gum, carrageenan), buttered pecans (pecans, butter, salt) (8%), natural butter flavor</t>
  </si>
  <si>
    <t xml:space="preserve">Milk, Tree Nuts (Pecan)</t>
  </si>
  <si>
    <t xml:space="preserve">FD-TUB-1013</t>
  </si>
  <si>
    <t xml:space="preserve">Mango Sorbet</t>
  </si>
  <si>
    <t xml:space="preserve">Mango</t>
  </si>
  <si>
    <t xml:space="preserve">Water, mango puree (35%), sugar, glucose syrup, lemon juice concentrate, stabilizer (locust bean gum)</t>
  </si>
  <si>
    <t xml:space="preserve">None</t>
  </si>
  <si>
    <t xml:space="preserve">2/3 cup (110 g)</t>
  </si>
  <si>
    <t xml:space="preserve">Blocked: Missing Nutrition Facts</t>
  </si>
  <si>
    <t xml:space="preserve">FD-TUB-1014</t>
  </si>
  <si>
    <t xml:space="preserve">Lemon Sorbet</t>
  </si>
  <si>
    <t xml:space="preserve">Lemon</t>
  </si>
  <si>
    <t xml:space="preserve">Water, sugar, lemon juice (18%), glucose syrup, lemon zest, stabilizer (guar gum)</t>
  </si>
  <si>
    <t xml:space="preserve">FD-TUB-1015</t>
  </si>
  <si>
    <t xml:space="preserve">Raspberry Sorbet</t>
  </si>
  <si>
    <t xml:space="preserve">Raspberry</t>
  </si>
  <si>
    <t xml:space="preserve">Water, raspberry puree (30%), sugar, glucose syrup, lemon juice concentrate, stabilizer (locust bean gum)</t>
  </si>
  <si>
    <t xml:space="preserve">FD-TUB-1016</t>
  </si>
  <si>
    <t xml:space="preserve">Coconut Non-Dairy Frozen Dessert</t>
  </si>
  <si>
    <t xml:space="preserve">Coconut</t>
  </si>
  <si>
    <t xml:space="preserve">Coconut cream (40%), water, sugar, tapioca syrup, toasted coconut flakes, stabilizers (guar gum, locust bean gum), sea salt</t>
  </si>
  <si>
    <t xml:space="preserve">FD-TUB-1017</t>
  </si>
  <si>
    <t xml:space="preserve">Stracciatella Gelato</t>
  </si>
  <si>
    <t xml:space="preserve">Stracciatella</t>
  </si>
  <si>
    <t xml:space="preserve">Whole milk, sugar, cream, skim milk powder, dextrose, stabilizers (locust bean gum, guar gum), dark chocolate shavings (cocoa mass, sugar, cocoa butter, soy lecithin) (8%)</t>
  </si>
  <si>
    <t xml:space="preserve">United Kingdom</t>
  </si>
  <si>
    <t xml:space="preserve">FD-TUB-1018</t>
  </si>
  <si>
    <t xml:space="preserve">Tiramisu Gelato</t>
  </si>
  <si>
    <t xml:space="preserve">Tiramisu</t>
  </si>
  <si>
    <t xml:space="preserve">Whole milk, sugar, cream, skim milk powder, dextrose, stabilizers (locust bean gum, guar gum), mascarpone (cream, citric acid), ladyfinger pieces (wheat flour, sugar, eggs) soaked in coffee, cocoa powder, Marsala wine</t>
  </si>
  <si>
    <t xml:space="preserve">Milk, Wheat, Eggs</t>
  </si>
  <si>
    <t xml:space="preserve">FD-TUB-1019</t>
  </si>
  <si>
    <t xml:space="preserve">Cookie Dough Ice Cream</t>
  </si>
  <si>
    <t xml:space="preserve">Cookie Dough</t>
  </si>
  <si>
    <t xml:space="preserve">Milk, cream, sugar, skim milk powder, glucose syrup, emulsifier (mono- and diglycerides of fatty acids), stabilizers (locust bean gum, guar gum, carrageenan), cookie dough pieces (wheat flour, brown sugar, butter, chocolate chips [sugar, cocoa mass, cocoa butter, soy lecithin], salt) (12%), natural vanilla flavor</t>
  </si>
  <si>
    <t xml:space="preserve">FD-TUB-1020</t>
  </si>
  <si>
    <t xml:space="preserve">Peanut Butter Cup Ice Cream</t>
  </si>
  <si>
    <t xml:space="preserve">Peanut Butter</t>
  </si>
  <si>
    <t xml:space="preserve">Milk, cream, sugar, skim milk powder, glucose syrup, emulsifier (mono- and diglycerides of fatty acids), stabilizers (locust bean gum, guar gum, carrageenan), peanut butter swirl (peanuts, sugar, salt) (8%), peanut butter cups (milk chocolate [sugar, cocoa butter, milk powder, cocoa mass, soy lecithin], peanuts) (6%)</t>
  </si>
  <si>
    <t xml:space="preserve">Milk, Peanuts, Soy</t>
  </si>
  <si>
    <t xml:space="preserve">FD-TUB-1021</t>
  </si>
  <si>
    <t xml:space="preserve">Double Chocolate Brownie Ice Cream</t>
  </si>
  <si>
    <t xml:space="preserve">Chocolate Brownie</t>
  </si>
  <si>
    <t xml:space="preserve">Milk, cream, sugar, skim milk powder, glucose syrup, emulsifier (mono- and diglycerides of fatty acids), stabilizers (locust bean gum, guar gum, carrageenan), cocoa powder, brownie pieces (sugar, wheat flour, eggs, butter, cocoa powder) (9%), chocolate fudge swirl (sugar, glucose syrup, cocoa powder)</t>
  </si>
  <si>
    <t xml:space="preserve">FD-TUB-1022</t>
  </si>
  <si>
    <t xml:space="preserve">Neapolitan Ice Cream</t>
  </si>
  <si>
    <t xml:space="preserve">Chocolate / Vanilla / Strawberry</t>
  </si>
  <si>
    <t xml:space="preserve">Milk, cream, sugar, skim milk powder, glucose syrup, emulsifier (mono- and diglycerides of fatty acids), stabilizers (locust bean gum, guar gum, carrageenan), cocoa powder, strawberry puree (4%), natural vanilla flavor, beet juice concentrate (color)</t>
  </si>
  <si>
    <t xml:space="preserve">FD-TUB-1023</t>
  </si>
  <si>
    <t xml:space="preserve">Rum Raisin Ice Cream</t>
  </si>
  <si>
    <t xml:space="preserve">Rum Raisin</t>
  </si>
  <si>
    <t xml:space="preserve">Milk, cream, sugar, skim milk powder, glucose syrup, emulsifier (mono- and diglycerides of fatty acids), stabilizers (locust bean gum, guar gum, carrageenan), rum-soaked raisins (raisins, rum) (8%), natural rum flavor</t>
  </si>
  <si>
    <t xml:space="preserve">FD-TUB-1024</t>
  </si>
  <si>
    <t xml:space="preserve">Black Cherry Ice Cream</t>
  </si>
  <si>
    <t xml:space="preserve">Black Cherry</t>
  </si>
  <si>
    <t xml:space="preserve">Milk, cream, sugar, skim milk powder, glucose syrup, emulsifier (mono- and diglycerides of fatty acids), stabilizers (locust bean gum, guar gum, carrageenan), black cherries (10%), cherry puree, elderberry juice concentrate (color)</t>
  </si>
  <si>
    <t xml:space="preserve">Warning: Packaging information missing</t>
  </si>
  <si>
    <t xml:space="preserve">FD-TUB-1025</t>
  </si>
  <si>
    <t xml:space="preserve">Matcha Green Tea Ice Cream</t>
  </si>
  <si>
    <t xml:space="preserve">Matcha</t>
  </si>
  <si>
    <t xml:space="preserve">Milk, cream, sugar, skim milk powder, glucose syrup, emulsifier (mono- and diglycerides of fatty acids), stabilizers (locust bean gum, guar gum, carrageenan), matcha green tea powder (2%)</t>
  </si>
  <si>
    <t xml:space="preserve">FD-TUB-1026</t>
  </si>
  <si>
    <t xml:space="preserve">Cinnamon Churro Ice Cream</t>
  </si>
  <si>
    <t xml:space="preserve">Cinnamon Churro</t>
  </si>
  <si>
    <t xml:space="preserve">Milk, cream, sugar, skim milk powder, glucose syrup, emulsifier (mono- and diglycerides of fatty acids), stabilizers (locust bean gum, guar gum, carrageenan), ground cinnamon, churro pieces (wheat flour, sugar, sunflower oil, cinnamon, salt) (6%)</t>
  </si>
  <si>
    <t xml:space="preserve">Milk, Wheat</t>
  </si>
  <si>
    <t xml:space="preserve">Blocked: Mandatory attributes missing</t>
  </si>
  <si>
    <t xml:space="preserve">FD-TUB-1027</t>
  </si>
  <si>
    <t xml:space="preserve">Blueberry Cheesecake Ice Cream</t>
  </si>
  <si>
    <t xml:space="preserve">Blueberry Cheesecake</t>
  </si>
  <si>
    <t xml:space="preserve">Milk, cream, sugar, skim milk powder, glucose syrup, emulsifier (mono- and diglycerides of fatty acids), stabilizers (locust bean gum, guar gum, carrageenan), cream cheese (milk, cream, salt, cultures), blueberry swirl (blueberries, sugar, pectin) (8%), graham cracker pieces (whole wheat flour, sugar, honey, soybean oil)</t>
  </si>
  <si>
    <t xml:space="preserve">FD-TUB-1028</t>
  </si>
  <si>
    <t xml:space="preserve">Almond Fudge Ice Cream</t>
  </si>
  <si>
    <t xml:space="preserve">Almond Fudge</t>
  </si>
  <si>
    <t xml:space="preserve">Milk, cream, sugar, skim milk powder, glucose syrup, emulsifier (mono- and diglycerides of fatty acids), stabilizers (locust bean gum, guar gum, carrageenan), fudge swirl (sugar, glucose syrup, cocoa powder) (8%), roasted almonds (6%)</t>
  </si>
  <si>
    <t xml:space="preserve">FD-BAR-1001</t>
  </si>
  <si>
    <t xml:space="preserve">Ice Cream Bars</t>
  </si>
  <si>
    <t xml:space="preserve">Chocolate Coated Vanilla Bar</t>
  </si>
  <si>
    <t xml:space="preserve">Vanilla ice cream (milk, cream, sugar, skim milk powder, glucose syrup, emulsifier: mono- and diglycerides, stabilizers: locust bean gum, guar gum, natural vanilla flavor) (70%), milk chocolate coating (sugar, cocoa butter, whole milk powder, cocoa mass, coconut oil, emulsifier: soy lecithin, natural vanilla flavor) (30%)</t>
  </si>
  <si>
    <t xml:space="preserve">70 g</t>
  </si>
  <si>
    <t xml:space="preserve">1 bar (70 g)</t>
  </si>
  <si>
    <t xml:space="preserve">Flow-wrap film (individually wrapped)</t>
  </si>
  <si>
    <t xml:space="preserve">FD-BAR-1002</t>
  </si>
  <si>
    <t xml:space="preserve">Almond Chocolate Bar</t>
  </si>
  <si>
    <t xml:space="preserve">Vanilla Almond</t>
  </si>
  <si>
    <t xml:space="preserve">Vanilla ice cream (milk, cream, sugar, skim milk powder, glucose syrup, emulsifier: mono- and diglycerides, stabilizers: locust bean gum, guar gum, natural vanilla flavor) (68%), milk chocolate coating (sugar, cocoa butter, whole milk powder, cocoa mass, coconut oil, emulsifier: soy lecithin, natural vanilla flavor) (26%), chopped roasted almonds (6%)</t>
  </si>
  <si>
    <t xml:space="preserve">Milk, Soy, Tree Nuts (Almond)</t>
  </si>
  <si>
    <t xml:space="preserve">FD-BAR-1003</t>
  </si>
  <si>
    <t xml:space="preserve">Salted Caramel Chocolate Bar</t>
  </si>
  <si>
    <t xml:space="preserve">Vanilla ice cream (milk, cream, sugar, skim milk powder, glucose syrup, emulsifier: mono- and diglycerides, stabilizers: locust bean gum, guar gum, natural vanilla flavor) (60%), caramel sauce (sugar, glucose syrup, cream, butter, sea salt) (12%), milk chocolate coating (sugar, cocoa butter, whole milk powder, cocoa mass, coconut oil, emulsifier: soy lecithin, natural vanilla flavor) (28%)</t>
  </si>
  <si>
    <t xml:space="preserve">80 g</t>
  </si>
  <si>
    <t xml:space="preserve">1 bar (80 g)</t>
  </si>
  <si>
    <t xml:space="preserve">FD-BAR-1004</t>
  </si>
  <si>
    <t xml:space="preserve">Double Chocolate Bar</t>
  </si>
  <si>
    <t xml:space="preserve">Chocolate ice cream (milk, cream, sugar, cocoa powder, glucose syrup, emulsifier: mono- and diglycerides, stabilizers: guar gum, carrageenan) (70%), dark chocolate coating (sugar, cocoa mass, cocoa butter, coconut oil, emulsifier: soy lecithin) (30%)</t>
  </si>
  <si>
    <t xml:space="preserve">FD-BAR-1005</t>
  </si>
  <si>
    <t xml:space="preserve">White Chocolate Raspberry Bar</t>
  </si>
  <si>
    <t xml:space="preserve">Raspberry White Chocolate</t>
  </si>
  <si>
    <t xml:space="preserve">Vanilla ice cream (milk, cream, sugar, skim milk powder, glucose syrup, emulsifier: mono- and diglycerides, stabilizers: locust bean gum, guar gum, natural vanilla flavor) (62%), raspberry sauce (raspberries, sugar, pectin) (10%), white chocolate coating (sugar, cocoa butter, whole milk powder, coconut oil, soy lecithin) (28%)</t>
  </si>
  <si>
    <t xml:space="preserve">FD-BAR-1006</t>
  </si>
  <si>
    <t xml:space="preserve">Cookies &amp; Cream Bar</t>
  </si>
  <si>
    <t xml:space="preserve">Vanilla ice cream (milk, cream, sugar, skim milk powder, glucose syrup, emulsifier: mono- and diglycerides, stabilizers: locust bean gum, guar gum, natural vanilla flavor) (60%), milk chocolate coating (sugar, cocoa butter, whole milk powder, cocoa mass, coconut oil, emulsifier: soy lecithin, natural vanilla flavor) (30%), chocolate cookie crumbs (wheat flour, sugar, palm oil, cocoa powder, salt) (10%)</t>
  </si>
  <si>
    <t xml:space="preserve">FD-BAR-1007</t>
  </si>
  <si>
    <t xml:space="preserve">Strawberry Fruit Bar</t>
  </si>
  <si>
    <t xml:space="preserve">Strawberries (45%), water, sugar, glucose syrup, lemon juice concentrate, stabilizer (guar gum), beet juice concentrate (color)</t>
  </si>
  <si>
    <t xml:space="preserve">60 g</t>
  </si>
  <si>
    <t xml:space="preserve">1 bar (60 g)</t>
  </si>
  <si>
    <t xml:space="preserve">FD-BAR-1008</t>
  </si>
  <si>
    <t xml:space="preserve">Mango Fruit Bar</t>
  </si>
  <si>
    <t xml:space="preserve">Mango puree (48%), water, sugar, glucose syrup, lime juice concentrate, stabilizer (locust bean gum)</t>
  </si>
  <si>
    <t xml:space="preserve">FD-BAR-1009</t>
  </si>
  <si>
    <t xml:space="preserve">Coconut Dark Chocolate Bar</t>
  </si>
  <si>
    <t xml:space="preserve">Coconut frozen dessert (coconut cream, water, sugar, tapioca syrup, guar gum) (68%), dark chocolate coating (sugar, cocoa mass, cocoa butter, coconut oil, emulsifier: soy lecithin) (32%)</t>
  </si>
  <si>
    <t xml:space="preserve">Soy</t>
  </si>
  <si>
    <t xml:space="preserve">FD-BAR-1010</t>
  </si>
  <si>
    <t xml:space="preserve">Pistachio Chocolate Bar</t>
  </si>
  <si>
    <t xml:space="preserve">Pistachio ice cream (milk, cream, sugar, pistachio paste, glucose syrup, stabilizers: guar gum, locust bean gum) (68%), milk chocolate coating (sugar, cocoa butter, whole milk powder, cocoa mass, coconut oil, emulsifier: soy lecithin, natural vanilla flavor) (26%), chopped pistachios (6%)</t>
  </si>
  <si>
    <t xml:space="preserve">Milk, Soy, Tree Nuts (Pistachio)</t>
  </si>
  <si>
    <t xml:space="preserve">FD-BAR-1011</t>
  </si>
  <si>
    <t xml:space="preserve">Coffee Mocha Bar</t>
  </si>
  <si>
    <t xml:space="preserve">Coffee Mocha</t>
  </si>
  <si>
    <t xml:space="preserve">Coffee ice cream (milk, cream, sugar, coffee extract, glucose syrup, stabilizers: guar gum, carrageenan) (70%), dark chocolate coating (sugar, cocoa mass, cocoa butter, coconut oil, emulsifier: soy lecithin) (30%)</t>
  </si>
  <si>
    <t xml:space="preserve">FD-BAR-1012</t>
  </si>
  <si>
    <t xml:space="preserve">Peanut Crunch Bar</t>
  </si>
  <si>
    <t xml:space="preserve">Peanut</t>
  </si>
  <si>
    <t xml:space="preserve">Peanut butter ice cream (milk, cream, sugar, peanut butter, glucose syrup, stabilizers: guar gum) (64%), milk chocolate coating (sugar, cocoa butter, whole milk powder, cocoa mass, coconut oil, emulsifier: soy lecithin, natural vanilla flavor) (28%), roasted peanut pieces (8%)</t>
  </si>
  <si>
    <t xml:space="preserve">FD-BAR-1013</t>
  </si>
  <si>
    <t xml:space="preserve">Hazelnut Praline Bar</t>
  </si>
  <si>
    <t xml:space="preserve">Vanilla ice cream (milk, cream, sugar, skim milk powder, glucose syrup, emulsifier: mono- and diglycerides, stabilizers: locust bean gum, guar gum, natural vanilla flavor) (60%), hazelnut praline sauce (sugar, hazelnuts, sunflower oil) (10%), milk chocolate coating (sugar, cocoa butter, whole milk powder, cocoa mass, coconut oil, emulsifier: soy lecithin, natural vanilla flavor) (26%), chopped hazelnuts (4%)</t>
  </si>
  <si>
    <t xml:space="preserve">Milk, Soy, Tree Nuts (Hazelnut)</t>
  </si>
  <si>
    <t xml:space="preserve">FD-BAR-1014</t>
  </si>
  <si>
    <t xml:space="preserve">Dark Chocolate Mint Bar</t>
  </si>
  <si>
    <t xml:space="preserve">Mint Chocolate</t>
  </si>
  <si>
    <t xml:space="preserve">Mint ice cream (milk, cream, sugar, glucose syrup, natural peppermint oil, stabilizers: guar gum, carrageenan) (70%), dark chocolate coating (sugar, cocoa mass, cocoa butter, coconut oil, emulsifier: soy lecithin) (30%)</t>
  </si>
  <si>
    <t xml:space="preserve">FD-BAR-1015</t>
  </si>
  <si>
    <t xml:space="preserve">Lemon Frozen Yogurt Bar</t>
  </si>
  <si>
    <t xml:space="preserve">Low-fat yogurt (milk, live cultures) (55%), sugar, lemon juice (8%), glucose syrup, lemon zest, stabilizers (locust bean gum, pectin)</t>
  </si>
  <si>
    <t xml:space="preserve">FD-BAR-1016</t>
  </si>
  <si>
    <t xml:space="preserve">Dulce de Leche Bar</t>
  </si>
  <si>
    <t xml:space="preserve">Vanilla ice cream (milk, cream, sugar, skim milk powder, glucose syrup, emulsifier: mono- and diglycerides, stabilizers: locust bean gum, guar gum, natural vanilla flavor) (60%), dulce de leche (sweetened condensed milk, sugar) (12%), milk chocolate coating (sugar, cocoa butter, whole milk powder, cocoa mass, coconut oil, emulsifier: soy lecithin, natural vanilla flavor) (28%)</t>
  </si>
  <si>
    <t xml:space="preserve">FD-BAR-1017</t>
  </si>
  <si>
    <t xml:space="preserve">Vanilla Ice Cream Sandwich</t>
  </si>
  <si>
    <t xml:space="preserve">Vanilla ice cream (milk, cream, sugar, skim milk powder, glucose syrup, emulsifier: mono- and diglycerides, stabilizers: locust bean gum, guar gum, natural vanilla flavor) (65%), chocolate wafers (wheat flour, sugar, palm oil, cocoa powder, soy lecithin, sodium bicarbonate, salt) (35%)</t>
  </si>
  <si>
    <t xml:space="preserve">90 g</t>
  </si>
  <si>
    <t xml:space="preserve">1 sandwich (90 g)</t>
  </si>
  <si>
    <t xml:space="preserve">FD-BAR-1018</t>
  </si>
  <si>
    <t xml:space="preserve">Cherry Chocolate Bar</t>
  </si>
  <si>
    <t xml:space="preserve">Cherry</t>
  </si>
  <si>
    <t xml:space="preserve">Cherry ice cream (milk, cream, sugar, cherry puree, glucose syrup, stabilizers: guar gum) (70%), dark chocolate coating (sugar, cocoa mass, cocoa butter, coconut oil, emulsifier: soy lecithin) (30%)</t>
  </si>
  <si>
    <t xml:space="preserve">FD-CAK-1001</t>
  </si>
  <si>
    <t xml:space="preserve">Frozen Cakes &amp; Tortes</t>
  </si>
  <si>
    <t xml:space="preserve">Black Forest Torte</t>
  </si>
  <si>
    <t xml:space="preserve">Cherry Chocolate</t>
  </si>
  <si>
    <t xml:space="preserve">Cream, chocolate sponge (wheat flour, sugar, eggs, cocoa powder, butter), sour cherries (18%), sugar, cherry brandy (kirsch), dark chocolate shavings (cocoa mass, sugar, cocoa butter), gelatin, stabilizer (modified starch)</t>
  </si>
  <si>
    <t xml:space="preserve">750 g</t>
  </si>
  <si>
    <t xml:space="preserve">1/8 cake (94 g)</t>
  </si>
  <si>
    <t xml:space="preserve">9 months</t>
  </si>
  <si>
    <t xml:space="preserve">Printed carton with cardboard base</t>
  </si>
  <si>
    <t xml:space="preserve">FD-CAK-1002</t>
  </si>
  <si>
    <t xml:space="preserve">Chocolate Fudge Cake</t>
  </si>
  <si>
    <t xml:space="preserve">Sugar, wheat flour, chocolate fudge frosting (sugar, butter, cocoa mass, cream, soy lecithin) (28%), eggs, cocoa powder, sunflower oil, buttermilk, leavening (sodium bicarbonate), salt</t>
  </si>
  <si>
    <t xml:space="preserve">Milk, Wheat, Eggs, Soy</t>
  </si>
  <si>
    <t xml:space="preserve">900 g</t>
  </si>
  <si>
    <t xml:space="preserve">1/10 cake (90 g)</t>
  </si>
  <si>
    <t xml:space="preserve">FD-CAK-1003</t>
  </si>
  <si>
    <t xml:space="preserve">Vanilla Ice Cream Cake</t>
  </si>
  <si>
    <t xml:space="preserve">Vanilla Chocolate</t>
  </si>
  <si>
    <t xml:space="preserve">1 kg</t>
  </si>
  <si>
    <t xml:space="preserve">1/10 cake (100 g)</t>
  </si>
  <si>
    <t xml:space="preserve">Blocked: Missing ingredient list</t>
  </si>
  <si>
    <t xml:space="preserve">FD-CAK-1004</t>
  </si>
  <si>
    <t xml:space="preserve">Carrot Cake</t>
  </si>
  <si>
    <t xml:space="preserve">Carrot Walnut</t>
  </si>
  <si>
    <t xml:space="preserve">Carrots (20%), wheat flour, sugar, cream cheese frosting (cream cheese, butter, sugar), eggs, sunflower oil, walnuts (5%), raisins, cinnamon, leavening (sodium bicarbonate), salt</t>
  </si>
  <si>
    <t xml:space="preserve">Milk, Wheat, Eggs, Tree Nuts (Walnut)</t>
  </si>
  <si>
    <t xml:space="preserve">800 g</t>
  </si>
  <si>
    <t xml:space="preserve">1/8 cake (100 g)</t>
  </si>
  <si>
    <t xml:space="preserve">FD-CAK-1005</t>
  </si>
  <si>
    <t xml:space="preserve">Red Velvet Cake</t>
  </si>
  <si>
    <t xml:space="preserve">Red Velvet</t>
  </si>
  <si>
    <t xml:space="preserve">Sugar, wheat flour, cream cheese frosting (cream cheese, butter, sugar) (30%), eggs, buttermilk, sunflower oil, cocoa powder, beet juice concentrate (color), vinegar, leavening, salt</t>
  </si>
  <si>
    <t xml:space="preserve">FD-CAK-1006</t>
  </si>
  <si>
    <t xml:space="preserve">Tiramisu Torte</t>
  </si>
  <si>
    <t xml:space="preserve">Mascarpone cream (mascarpone, cream, sugar, egg yolk) (50%), ladyfingers (wheat flour, sugar, eggs), coffee (12%), cocoa powder, Marsala wine, gelatin</t>
  </si>
  <si>
    <t xml:space="preserve">FD-CAK-1007</t>
  </si>
  <si>
    <t xml:space="preserve">Lemon Meringue Torte</t>
  </si>
  <si>
    <t xml:space="preserve">Lemon curd (sugar, lemon juice, eggs, butter, cornstarch) (40%), shortcrust pastry (wheat flour, butter, sugar, eggs), Italian meringue (sugar, egg whites), lemon zest</t>
  </si>
  <si>
    <t xml:space="preserve">FD-CAK-1008</t>
  </si>
  <si>
    <t xml:space="preserve">Opera Cake</t>
  </si>
  <si>
    <t xml:space="preserve">Coffee Chocolate</t>
  </si>
  <si>
    <t xml:space="preserve">Almond sponge (almond flour, eggs, sugar, wheat flour, butter) (35%), coffee buttercream (butter, sugar, egg yolks, coffee extract) (30%), chocolate ganache (cream, dark chocolate [cocoa mass, sugar, cocoa butter, soy lecithin]), coffee syrup</t>
  </si>
  <si>
    <t xml:space="preserve">FD-CAK-1009</t>
  </si>
  <si>
    <t xml:space="preserve">Sachertorte</t>
  </si>
  <si>
    <t xml:space="preserve">Chocolate Apricot</t>
  </si>
  <si>
    <t xml:space="preserve">Chocolate sponge (eggs, sugar, butter, wheat flour, dark chocolate) (55%), apricot jam (apricots, sugar, pectin) (15%), chocolate glaze (sugar, cocoa mass, cocoa butter, soy lecithin) (30%)</t>
  </si>
  <si>
    <t xml:space="preserve">FD-CAK-1010</t>
  </si>
  <si>
    <t xml:space="preserve">Hazelnut Praline Torte</t>
  </si>
  <si>
    <t xml:space="preserve">Hazelnut mousse (cream, hazelnut paste, sugar, gelatin) (40%), sponge cake (wheat flour, sugar, eggs, butter, leavening: sodium bicarbonate, salt), praline crunch (hazelnuts, sugar, wafer crumbs [wheat flour], soy lecithin), milk chocolate glaze</t>
  </si>
  <si>
    <t xml:space="preserve">Milk, Wheat, Eggs, Tree Nuts (Hazelnut), Soy</t>
  </si>
  <si>
    <t xml:space="preserve">FD-CAK-1011</t>
  </si>
  <si>
    <t xml:space="preserve">Raspberry Almond Torte</t>
  </si>
  <si>
    <t xml:space="preserve">Raspberry Almond</t>
  </si>
  <si>
    <t xml:space="preserve">Almond frangipane (ground almonds, butter, sugar, eggs) (40%), shortcrust pastry (wheat flour, butter, sugar), raspberries (18%), raspberry jam, flaked almonds</t>
  </si>
  <si>
    <t xml:space="preserve">Milk, Wheat, Eggs, Tree Nuts (Almond)</t>
  </si>
  <si>
    <t xml:space="preserve">Blocked: Net weight missing</t>
  </si>
  <si>
    <t xml:space="preserve">FD-CAK-1012</t>
  </si>
  <si>
    <t xml:space="preserve">Coconut Layer Cake</t>
  </si>
  <si>
    <t xml:space="preserve">Sugar, wheat flour, coconut buttercream (butter, sugar, coconut cream) (28%), eggs, desiccated coconut (8%), buttermilk, sunflower oil, leavening, salt</t>
  </si>
  <si>
    <t xml:space="preserve">FD-CAK-1013</t>
  </si>
  <si>
    <t xml:space="preserve">Strawberry Shortcake</t>
  </si>
  <si>
    <t xml:space="preserve">Sponge cake (wheat flour, sugar, eggs, butter, leavening: sodium bicarbonate, salt) (40%), whipped cream (cream, sugar) (35%), strawberries (20%), strawberry glaze (sugar, strawberry puree, pectin)</t>
  </si>
  <si>
    <t xml:space="preserve">FD-CAK-1014</t>
  </si>
  <si>
    <t xml:space="preserve">Mocha Torte</t>
  </si>
  <si>
    <t xml:space="preserve">Mocha</t>
  </si>
  <si>
    <t xml:space="preserve">Chocolate sponge (wheat flour, sugar, eggs, cocoa powder, butter) (40%), mocha buttercream (butter, sugar, coffee extract, cocoa) (35%), dark chocolate ganache (cream, cocoa mass, sugar, soy lecithin)</t>
  </si>
  <si>
    <t xml:space="preserve">FD-CAK-1015</t>
  </si>
  <si>
    <t xml:space="preserve">Flourless Chocolate Truffle Torte</t>
  </si>
  <si>
    <t xml:space="preserve">Dark Chocolate</t>
  </si>
  <si>
    <t xml:space="preserve">Dark chocolate (cocoa mass, sugar, cocoa butter, soy lecithin) (45%), cream, eggs, butter, sugar, cocoa powder</t>
  </si>
  <si>
    <t xml:space="preserve">Milk, Eggs, Soy</t>
  </si>
  <si>
    <t xml:space="preserve">FD-CAK-1016</t>
  </si>
  <si>
    <t xml:space="preserve">Apple Crumble Cake</t>
  </si>
  <si>
    <t xml:space="preserve">Apple Cinnamon</t>
  </si>
  <si>
    <t xml:space="preserve">FD-CHK-1001</t>
  </si>
  <si>
    <t xml:space="preserve">Frozen Cheesecakes</t>
  </si>
  <si>
    <t xml:space="preserve">New York Cheesecake</t>
  </si>
  <si>
    <t xml:space="preserve">Original</t>
  </si>
  <si>
    <t xml:space="preserve">Cream cheese (pasteurized milk and cream, salt, cultures), sugar, eggs, sour cream (cultured cream), graham cracker crust (whole wheat flour, sugar, butter, honey, salt), cornstarch, natural vanilla flavor</t>
  </si>
  <si>
    <t xml:space="preserve">650 g</t>
  </si>
  <si>
    <t xml:space="preserve">1/8 cheesecake (81 g)</t>
  </si>
  <si>
    <t xml:space="preserve">Cardboard round with printed carton</t>
  </si>
  <si>
    <t xml:space="preserve">FD-CHK-1002</t>
  </si>
  <si>
    <t xml:space="preserve">Strawberry Cheesecake</t>
  </si>
  <si>
    <t xml:space="preserve">Cream cheese (pasteurized milk and cream, salt, cultures), sugar, eggs, sour cream (cultured cream), graham cracker crust (whole wheat flour, sugar, butter, honey, salt), cornstarch, natural vanilla flavor, strawberry topping (strawberries, sugar, modified starch, lemon juice) (18%)</t>
  </si>
  <si>
    <t xml:space="preserve">FD-CHK-1003</t>
  </si>
  <si>
    <t xml:space="preserve">Blueberry</t>
  </si>
  <si>
    <t xml:space="preserve">Cream cheese (pasteurized milk and cream, salt, cultures), sugar, eggs, sour cream (cultured cream), graham cracker crust (whole wheat flour, sugar, butter, honey, salt), cornstarch, natural vanilla flavor, blueberry topping (blueberries, sugar, modified starch) (18%)</t>
  </si>
  <si>
    <t xml:space="preserve">1/10 cheesecake (90 g)</t>
  </si>
  <si>
    <t xml:space="preserve">FD-CHK-1004</t>
  </si>
  <si>
    <t xml:space="preserve">Raspberry Swirl Cheesecake</t>
  </si>
  <si>
    <t xml:space="preserve">Cream cheese (pasteurized milk and cream, salt, cultures), sugar, eggs, sour cream (cultured cream), graham cracker crust (whole wheat flour, sugar, butter, honey, salt), cornstarch, natural vanilla flavor, raspberry puree swirl (raspberries, sugar, pectin) (10%)</t>
  </si>
  <si>
    <t xml:space="preserve">FD-CHK-1005</t>
  </si>
  <si>
    <t xml:space="preserve">Chocolate Cheesecake</t>
  </si>
  <si>
    <t xml:space="preserve">Cream cheese (pasteurized milk and cream, salt, cultures), sugar, eggs, sour cream (cultured cream), graham cracker crust (whole wheat flour, sugar, butter, honey, salt), cornstarch, natural vanilla flavor, dark chocolate (cocoa mass, sugar, cocoa butter, soy lecithin) (12%), cocoa powder</t>
  </si>
  <si>
    <t xml:space="preserve">1.1 kg</t>
  </si>
  <si>
    <t xml:space="preserve">1/12 cheesecake (250 g)</t>
  </si>
  <si>
    <t xml:space="preserve">FD-CHK-1006</t>
  </si>
  <si>
    <t xml:space="preserve">Salted Caramel Cheesecake</t>
  </si>
  <si>
    <t xml:space="preserve">Cream cheese (pasteurized milk and cream, salt, cultures), sugar, eggs, sour cream (cultured cream), graham cracker crust (whole wheat flour, sugar, butter, honey, salt), cornstarch, natural vanilla flavor, caramel topping (sugar, cream, butter, glucose syrup, sea salt) (12%)</t>
  </si>
  <si>
    <t xml:space="preserve">FD-CHK-1007</t>
  </si>
  <si>
    <t xml:space="preserve">Lemon Cheesecake</t>
  </si>
  <si>
    <t xml:space="preserve">FD-CHK-1008</t>
  </si>
  <si>
    <t xml:space="preserve">Mango Passion Fruit Cheesecake</t>
  </si>
  <si>
    <t xml:space="preserve">Mango Passion Fruit</t>
  </si>
  <si>
    <t xml:space="preserve">Cream cheese (pasteurized milk and cream, salt, cultures), sugar, eggs, sour cream (cultured cream), graham cracker crust (whole wheat flour, sugar, butter, honey, salt), cornstarch, natural vanilla flavor, mango passion fruit topping (mango puree, passion fruit juice, sugar, gelatin) (15%)</t>
  </si>
  <si>
    <t xml:space="preserve">FD-CHK-1009</t>
  </si>
  <si>
    <t xml:space="preserve">Cherry Cheesecake</t>
  </si>
  <si>
    <t xml:space="preserve">Cream cheese (pasteurized milk and cream, salt, cultures), sugar, eggs, sour cream (cultured cream), graham cracker crust (whole wheat flour, sugar, butter, honey, salt), cornstarch, natural vanilla flavor, cherry topping (cherries, sugar, modified starch, elderberry juice concentrate) (18%)</t>
  </si>
  <si>
    <t xml:space="preserve">Mexico</t>
  </si>
  <si>
    <t xml:space="preserve">FD-CHK-1010</t>
  </si>
  <si>
    <t xml:space="preserve">Cookies &amp; Cream Cheesecake</t>
  </si>
  <si>
    <t xml:space="preserve">Cream cheese (pasteurized milk and cream, salt, cultures), sugar, eggs, sour cream (cultured cream), graham cracker crust (whole wheat flour, sugar, butter, honey, salt), cornstarch, natural vanilla flavor, chocolate cookie pieces (wheat flour, sugar, palm oil, cocoa powder, soy lecithin, salt) (10%)</t>
  </si>
  <si>
    <t xml:space="preserve">1/12 cheesecake (92 g)</t>
  </si>
  <si>
    <t xml:space="preserve">FD-CHK-1011</t>
  </si>
  <si>
    <t xml:space="preserve">Pumpkin Spice Cheesecake</t>
  </si>
  <si>
    <t xml:space="preserve">Pumpkin Spice</t>
  </si>
  <si>
    <t xml:space="preserve">FD-CHK-1012</t>
  </si>
  <si>
    <t xml:space="preserve">Key Lime Cheesecake</t>
  </si>
  <si>
    <t xml:space="preserve">Key Lime</t>
  </si>
  <si>
    <t xml:space="preserve">Cream cheese (pasteurized milk and cream, salt, cultures), sugar, eggs, sour cream (cultured cream), graham cracker crust (whole wheat flour, sugar, butter, honey, salt), cornstarch, natural vanilla flavor, key lime juice (6%), lime zest, whipped cream topping</t>
  </si>
  <si>
    <t xml:space="preserve">FD-CUP-1001</t>
  </si>
  <si>
    <t xml:space="preserve">Frozen Dessert Cups</t>
  </si>
  <si>
    <t xml:space="preserve">Chocolate Brownie Sundae Cup</t>
  </si>
  <si>
    <t xml:space="preserve">Chocolate ice cream (milk, cream, sugar, cocoa powder, glucose syrup, stabilizers: guar gum, carrageenan) (70%), brownie pieces (sugar, wheat flour, eggs, butter, cocoa) (15%), chocolate sauce (sugar, glucose syrup, cocoa, soy lecithin) (15%)</t>
  </si>
  <si>
    <t xml:space="preserve">100 g</t>
  </si>
  <si>
    <t xml:space="preserve">1 cup (130 g)</t>
  </si>
  <si>
    <t xml:space="preserve">PP cup with peelable foil lid</t>
  </si>
  <si>
    <t xml:space="preserve">FD-CUP-1002</t>
  </si>
  <si>
    <t xml:space="preserve">Vanilla Ice Cream Cup</t>
  </si>
  <si>
    <t xml:space="preserve">Milk, cream, sugar, skim milk powder, glucose syrup, emulsifier (mono- and diglycerides of fatty acids), stabilizers (locust bean gum, guar gum, carrageenan), natural vanilla extract</t>
  </si>
  <si>
    <t xml:space="preserve">120 mL</t>
  </si>
  <si>
    <t xml:space="preserve">1 cup (80 g)</t>
  </si>
  <si>
    <t xml:space="preserve">FD-CUP-1003</t>
  </si>
  <si>
    <t xml:space="preserve">Strawberry Swirl Cup</t>
  </si>
  <si>
    <t xml:space="preserve">Milk, cream, sugar, skim milk powder, glucose syrup, emulsifier (mono- and diglycerides of fatty acids), stabilizers (locust bean gum, guar gum, carrageenan), strawberry sauce (strawberries, sugar, pectin) (12%), natural vanilla flavor</t>
  </si>
  <si>
    <t xml:space="preserve">FD-CUP-1004</t>
  </si>
  <si>
    <t xml:space="preserve">Tiramisu Dessert Cup</t>
  </si>
  <si>
    <t xml:space="preserve">Mascarpone cream (mascarpone, cream, sugar, egg yolk) (60%), ladyfinger pieces (wheat flour, sugar, eggs) soaked in coffee (25%), cocoa powder</t>
  </si>
  <si>
    <t xml:space="preserve">1 cup (100 g)</t>
  </si>
  <si>
    <t xml:space="preserve">FD-CUP-1005</t>
  </si>
  <si>
    <t xml:space="preserve">Berry Panna Cotta Cup</t>
  </si>
  <si>
    <t xml:space="preserve">Mixed Berry</t>
  </si>
  <si>
    <t xml:space="preserve">Cream (60%), milk, sugar, mixed berry compote (strawberries, raspberries, blueberries, sugar) (15%), gelatin, natural vanilla flavor</t>
  </si>
  <si>
    <t xml:space="preserve">FD-CUP-1006</t>
  </si>
  <si>
    <t xml:space="preserve">Crème Brûlée Cup</t>
  </si>
  <si>
    <t xml:space="preserve">Vanilla Custard</t>
  </si>
  <si>
    <t xml:space="preserve">Cream (65%), egg yolks, sugar, caramelized sugar topping, natural vanilla extract</t>
  </si>
  <si>
    <t xml:space="preserve">FD-CUP-1007</t>
  </si>
  <si>
    <t xml:space="preserve">Key Lime Pie Cup</t>
  </si>
  <si>
    <t xml:space="preserve">Sweetened condensed milk (milk, sugar), key lime juice (10%), egg yolks, graham cracker crumbs (whole wheat flour, sugar, butter, honey), whipped cream</t>
  </si>
  <si>
    <t xml:space="preserve">FD-CUP-1008</t>
  </si>
  <si>
    <t xml:space="preserve">Banoffee Cup</t>
  </si>
  <si>
    <t xml:space="preserve">Banana Toffee</t>
  </si>
  <si>
    <t xml:space="preserve">Toffee sauce (sweetened condensed milk, butter, brown sugar) (30%), banana puree (20%), whipped cream, biscuit crumbs (wheat flour, sugar, butter)</t>
  </si>
  <si>
    <t xml:space="preserve">FD-CUP-1009</t>
  </si>
  <si>
    <t xml:space="preserve">Affogato Cup</t>
  </si>
  <si>
    <t xml:space="preserve">Coffee Vanilla</t>
  </si>
  <si>
    <t xml:space="preserve">Milk, cream, sugar, skim milk powder, glucose syrup, emulsifier (mono- and diglycerides of fatty acids), stabilizers (locust bean gum, guar gum, carrageenan), espresso coffee sauce (water, coffee, sugar) (10%), natural vanilla flavor</t>
  </si>
  <si>
    <t xml:space="preserve">FD-CUP-1010</t>
  </si>
  <si>
    <t xml:space="preserve">Mango Sorbet Cup</t>
  </si>
  <si>
    <t xml:space="preserve">FD-MOU-1001</t>
  </si>
  <si>
    <t xml:space="preserve">Frozen Mousses</t>
  </si>
  <si>
    <t xml:space="preserve">Belgian Chocolate Mousse</t>
  </si>
  <si>
    <t xml:space="preserve">Cream, Belgian dark chocolate (cocoa mass, sugar, cocoa butter, soy lecithin) (25%), sugar, egg whites, egg yolks, cocoa powder</t>
  </si>
  <si>
    <t xml:space="preserve">240 g (4 x 60 g)</t>
  </si>
  <si>
    <t xml:space="preserve">1 cup (60 g)</t>
  </si>
  <si>
    <t xml:space="preserve">PET cups with peelable lid, carton sleeve</t>
  </si>
  <si>
    <t xml:space="preserve">FD-MOU-1002</t>
  </si>
  <si>
    <t xml:space="preserve">Lemon Mousse Cup</t>
  </si>
  <si>
    <t xml:space="preserve">Cream, lemon curd (sugar, lemon juice, eggs, butter) (25%), sugar, gelatin, lemon zest</t>
  </si>
  <si>
    <t xml:space="preserve">FD-MOU-1003</t>
  </si>
  <si>
    <t xml:space="preserve">Raspberry Mousse</t>
  </si>
  <si>
    <t xml:space="preserve">Cream, raspberry puree (25%), sugar, skim milk powder, gelatin, lemon juice concentrate</t>
  </si>
  <si>
    <t xml:space="preserve">FD-MOU-1004</t>
  </si>
  <si>
    <t xml:space="preserve">Passion Fruit Mousse</t>
  </si>
  <si>
    <t xml:space="preserve">Passion Fruit</t>
  </si>
  <si>
    <t xml:space="preserve">Cream, passion fruit pulp (22%), sweetened condensed milk (milk, sugar), sugar, gelatin</t>
  </si>
  <si>
    <t xml:space="preserve">FD-MOU-1005</t>
  </si>
  <si>
    <t xml:space="preserve">White Chocolate Mousse</t>
  </si>
  <si>
    <t xml:space="preserve">White Chocolate</t>
  </si>
  <si>
    <t xml:space="preserve">Cream, white chocolate (sugar, cocoa butter, whole milk powder, soy lecithin, vanilla) (25%), sugar, skim milk powder, gelatin</t>
  </si>
  <si>
    <t xml:space="preserve">FD-MOU-1006</t>
  </si>
  <si>
    <t xml:space="preserve">Coffee Mousse</t>
  </si>
  <si>
    <t xml:space="preserve">Cream, sugar, egg yolks, coffee extract (3%), skim milk powder, gelatin, cocoa powder</t>
  </si>
  <si>
    <t xml:space="preserve">Product Count</t>
  </si>
  <si>
    <t xml:space="preserve">% of Total</t>
  </si>
  <si>
    <t xml:space="preserve">Total Products</t>
  </si>
  <si>
    <t xml:space="preserve">Blocked %</t>
  </si>
  <si>
    <t xml:space="preserve">Launch-Ready %</t>
  </si>
</sst>
</file>

<file path=xl/styles.xml><?xml version="1.0" encoding="utf-8"?>
<styleSheet xmlns="http://schemas.openxmlformats.org/spreadsheetml/2006/main">
  <numFmts count="2">
    <numFmt numFmtId="164" formatCode="General"/>
    <numFmt numFmtId="165" formatCode="0.0%"/>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9C5700"/>
          <bgColor rgb="FF000000"/>
        </patternFill>
      </fill>
    </dxf>
    <dxf>
      <font>
        <name val="Arial"/>
        <charset val="1"/>
        <family val="0"/>
        <b val="1"/>
        <color rgb="FF006100"/>
      </font>
      <fill>
        <patternFill>
          <bgColor rgb="FFC6EFCE"/>
        </patternFill>
      </fill>
    </dxf>
    <dxf>
      <font>
        <name val="Arial"/>
        <charset val="1"/>
        <family val="0"/>
        <b val="1"/>
        <color rgb="FF9C5700"/>
      </font>
      <fill>
        <patternFill>
          <bgColor rgb="FFFFEB9C"/>
        </patternFill>
      </fill>
    </dxf>
    <dxf>
      <font>
        <name val="Arial"/>
        <charset val="1"/>
        <family val="0"/>
        <b val="1"/>
        <color rgb="FF9C0006"/>
      </font>
      <fill>
        <patternFill>
          <bgColor rgb="FFFFC7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34"/>
    <col collapsed="false" customWidth="true" hidden="false" outlineLevel="0" max="4" min="4" style="0" width="24"/>
    <col collapsed="false" customWidth="true" hidden="false" outlineLevel="0" max="5" min="5" style="0" width="70"/>
    <col collapsed="false" customWidth="true" hidden="false" outlineLevel="0" max="6" min="6" style="0" width="30"/>
    <col collapsed="false" customWidth="true" hidden="false" outlineLevel="0" max="7" min="7" style="0" width="14"/>
    <col collapsed="false" customWidth="true" hidden="false" outlineLevel="0" max="8" min="8" style="0" width="16"/>
    <col collapsed="false" customWidth="true" hidden="false" outlineLevel="0" max="9" min="9" style="0" width="26"/>
    <col collapsed="false" customWidth="true" hidden="false" outlineLevel="0" max="10" min="10" style="0" width="13"/>
    <col collapsed="false" customWidth="true" hidden="false" outlineLevel="0" max="11" min="11" style="0" width="11"/>
    <col collapsed="false" customWidth="true" hidden="false" outlineLevel="0" max="12" min="12" style="0" width="16"/>
    <col collapsed="false" customWidth="true" hidden="false" outlineLevel="0" max="13" min="13" style="0" width="34"/>
    <col collapsed="false" customWidth="true" hidden="false" outlineLevel="0" max="14" min="14" style="0" width="11"/>
    <col collapsed="false" customWidth="true" hidden="false" outlineLevel="0" max="16" min="15" style="0" width="16"/>
    <col collapsed="false" customWidth="true" hidden="false" outlineLevel="0" max="17" min="17" style="0" width="12"/>
    <col collapsed="false" customWidth="true" hidden="false" outlineLevel="0" max="18" min="18" style="0" width="44"/>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35.05" hidden="false" customHeight="false" outlineLevel="0" collapsed="false">
      <c r="A2" s="2" t="s">
        <v>18</v>
      </c>
      <c r="B2" s="2" t="s">
        <v>19</v>
      </c>
      <c r="C2" s="2" t="s">
        <v>20</v>
      </c>
      <c r="D2" s="2" t="s">
        <v>21</v>
      </c>
      <c r="E2" s="3" t="s">
        <v>22</v>
      </c>
      <c r="F2" s="3" t="s">
        <v>23</v>
      </c>
      <c r="G2" s="4" t="s">
        <v>24</v>
      </c>
      <c r="H2" s="2" t="s">
        <v>25</v>
      </c>
      <c r="I2" s="2" t="s">
        <v>26</v>
      </c>
      <c r="J2" s="4" t="s">
        <v>27</v>
      </c>
      <c r="K2" s="4" t="s">
        <v>28</v>
      </c>
      <c r="L2" s="2" t="s">
        <v>29</v>
      </c>
      <c r="M2" s="3" t="s">
        <v>30</v>
      </c>
      <c r="N2" s="4" t="s">
        <v>31</v>
      </c>
      <c r="O2" s="4" t="s">
        <v>24</v>
      </c>
      <c r="P2" s="4" t="s">
        <v>32</v>
      </c>
      <c r="Q2" s="4" t="s">
        <v>33</v>
      </c>
      <c r="R2" s="3" t="s">
        <v>34</v>
      </c>
    </row>
    <row r="3" customFormat="false" ht="35.05" hidden="false" customHeight="false" outlineLevel="0" collapsed="false">
      <c r="A3" s="2" t="s">
        <v>35</v>
      </c>
      <c r="B3" s="2" t="s">
        <v>19</v>
      </c>
      <c r="C3" s="2" t="s">
        <v>36</v>
      </c>
      <c r="D3" s="2" t="s">
        <v>37</v>
      </c>
      <c r="E3" s="3" t="s">
        <v>38</v>
      </c>
      <c r="F3" s="3" t="s">
        <v>39</v>
      </c>
      <c r="G3" s="4" t="s">
        <v>24</v>
      </c>
      <c r="H3" s="2" t="s">
        <v>40</v>
      </c>
      <c r="I3" s="2" t="s">
        <v>41</v>
      </c>
      <c r="J3" s="4" t="s">
        <v>27</v>
      </c>
      <c r="K3" s="4" t="s">
        <v>42</v>
      </c>
      <c r="L3" s="2" t="s">
        <v>43</v>
      </c>
      <c r="M3" s="3" t="s">
        <v>30</v>
      </c>
      <c r="N3" s="4" t="s">
        <v>44</v>
      </c>
      <c r="O3" s="4" t="s">
        <v>24</v>
      </c>
      <c r="P3" s="4" t="s">
        <v>24</v>
      </c>
      <c r="Q3" s="4" t="s">
        <v>45</v>
      </c>
      <c r="R3" s="3" t="s">
        <v>46</v>
      </c>
    </row>
    <row r="4" customFormat="false" ht="35.05" hidden="false" customHeight="false" outlineLevel="0" collapsed="false">
      <c r="A4" s="2" t="s">
        <v>47</v>
      </c>
      <c r="B4" s="2" t="s">
        <v>19</v>
      </c>
      <c r="C4" s="2" t="s">
        <v>48</v>
      </c>
      <c r="D4" s="2" t="s">
        <v>49</v>
      </c>
      <c r="E4" s="3" t="s">
        <v>50</v>
      </c>
      <c r="F4" s="3" t="s">
        <v>23</v>
      </c>
      <c r="G4" s="4" t="s">
        <v>24</v>
      </c>
      <c r="H4" s="2" t="s">
        <v>51</v>
      </c>
      <c r="I4" s="2" t="s">
        <v>26</v>
      </c>
      <c r="J4" s="4" t="s">
        <v>27</v>
      </c>
      <c r="K4" s="4" t="s">
        <v>42</v>
      </c>
      <c r="L4" s="2" t="s">
        <v>29</v>
      </c>
      <c r="M4" s="3" t="s">
        <v>30</v>
      </c>
      <c r="N4" s="4" t="s">
        <v>44</v>
      </c>
      <c r="O4" s="4" t="s">
        <v>24</v>
      </c>
      <c r="P4" s="4" t="s">
        <v>24</v>
      </c>
      <c r="Q4" s="4" t="s">
        <v>52</v>
      </c>
      <c r="R4" s="3" t="s">
        <v>53</v>
      </c>
    </row>
    <row r="5" customFormat="false" ht="23.85" hidden="false" customHeight="false" outlineLevel="0" collapsed="false">
      <c r="A5" s="2" t="s">
        <v>54</v>
      </c>
      <c r="B5" s="2" t="s">
        <v>19</v>
      </c>
      <c r="C5" s="2" t="s">
        <v>55</v>
      </c>
      <c r="D5" s="2" t="s">
        <v>56</v>
      </c>
      <c r="E5" s="3" t="s">
        <v>57</v>
      </c>
      <c r="F5" s="3" t="s">
        <v>58</v>
      </c>
      <c r="G5" s="4" t="s">
        <v>24</v>
      </c>
      <c r="H5" s="2" t="s">
        <v>40</v>
      </c>
      <c r="I5" s="2" t="s">
        <v>59</v>
      </c>
      <c r="J5" s="4" t="s">
        <v>27</v>
      </c>
      <c r="K5" s="4" t="s">
        <v>60</v>
      </c>
      <c r="L5" s="2" t="s">
        <v>29</v>
      </c>
      <c r="M5" s="3" t="s">
        <v>30</v>
      </c>
      <c r="N5" s="4" t="s">
        <v>44</v>
      </c>
      <c r="O5" s="4" t="s">
        <v>24</v>
      </c>
      <c r="P5" s="4" t="s">
        <v>24</v>
      </c>
      <c r="Q5" s="4" t="s">
        <v>52</v>
      </c>
      <c r="R5" s="3" t="s">
        <v>53</v>
      </c>
    </row>
    <row r="6" customFormat="false" ht="35.05" hidden="false" customHeight="false" outlineLevel="0" collapsed="false">
      <c r="A6" s="2" t="s">
        <v>61</v>
      </c>
      <c r="B6" s="2" t="s">
        <v>19</v>
      </c>
      <c r="C6" s="2" t="s">
        <v>62</v>
      </c>
      <c r="D6" s="2" t="s">
        <v>63</v>
      </c>
      <c r="E6" s="3" t="s">
        <v>64</v>
      </c>
      <c r="F6" s="3" t="s">
        <v>23</v>
      </c>
      <c r="G6" s="4" t="s">
        <v>24</v>
      </c>
      <c r="H6" s="2" t="s">
        <v>25</v>
      </c>
      <c r="I6" s="2" t="s">
        <v>26</v>
      </c>
      <c r="J6" s="4" t="s">
        <v>27</v>
      </c>
      <c r="K6" s="4" t="s">
        <v>42</v>
      </c>
      <c r="L6" s="2" t="s">
        <v>29</v>
      </c>
      <c r="M6" s="3" t="s">
        <v>30</v>
      </c>
      <c r="N6" s="4" t="s">
        <v>44</v>
      </c>
      <c r="O6" s="4" t="s">
        <v>24</v>
      </c>
      <c r="P6" s="4" t="s">
        <v>24</v>
      </c>
      <c r="Q6" s="4" t="s">
        <v>52</v>
      </c>
      <c r="R6" s="3" t="s">
        <v>53</v>
      </c>
    </row>
    <row r="7" customFormat="false" ht="46.25" hidden="false" customHeight="false" outlineLevel="0" collapsed="false">
      <c r="A7" s="2" t="s">
        <v>65</v>
      </c>
      <c r="B7" s="2" t="s">
        <v>19</v>
      </c>
      <c r="C7" s="2" t="s">
        <v>66</v>
      </c>
      <c r="D7" s="2" t="s">
        <v>67</v>
      </c>
      <c r="E7" s="3" t="s">
        <v>68</v>
      </c>
      <c r="F7" s="3" t="s">
        <v>69</v>
      </c>
      <c r="G7" s="4" t="s">
        <v>24</v>
      </c>
      <c r="H7" s="2" t="s">
        <v>40</v>
      </c>
      <c r="I7" s="2" t="s">
        <v>26</v>
      </c>
      <c r="J7" s="4" t="s">
        <v>27</v>
      </c>
      <c r="K7" s="4"/>
      <c r="L7" s="2" t="s">
        <v>29</v>
      </c>
      <c r="M7" s="3" t="s">
        <v>30</v>
      </c>
      <c r="N7" s="4" t="s">
        <v>44</v>
      </c>
      <c r="O7" s="4" t="s">
        <v>24</v>
      </c>
      <c r="P7" s="4" t="s">
        <v>24</v>
      </c>
      <c r="Q7" s="4" t="s">
        <v>45</v>
      </c>
      <c r="R7" s="3" t="s">
        <v>70</v>
      </c>
    </row>
    <row r="8" customFormat="false" ht="46.25" hidden="false" customHeight="false" outlineLevel="0" collapsed="false">
      <c r="A8" s="2" t="s">
        <v>71</v>
      </c>
      <c r="B8" s="2" t="s">
        <v>19</v>
      </c>
      <c r="C8" s="2" t="s">
        <v>72</v>
      </c>
      <c r="D8" s="2" t="s">
        <v>73</v>
      </c>
      <c r="E8" s="3" t="s">
        <v>74</v>
      </c>
      <c r="F8" s="3" t="s">
        <v>75</v>
      </c>
      <c r="G8" s="4" t="s">
        <v>24</v>
      </c>
      <c r="H8" s="2" t="s">
        <v>51</v>
      </c>
      <c r="I8" s="2" t="s">
        <v>41</v>
      </c>
      <c r="J8" s="4" t="s">
        <v>27</v>
      </c>
      <c r="K8" s="4" t="s">
        <v>28</v>
      </c>
      <c r="L8" s="2" t="s">
        <v>76</v>
      </c>
      <c r="M8" s="3" t="s">
        <v>30</v>
      </c>
      <c r="N8" s="4" t="s">
        <v>44</v>
      </c>
      <c r="O8" s="4" t="s">
        <v>24</v>
      </c>
      <c r="P8" s="4" t="s">
        <v>24</v>
      </c>
      <c r="Q8" s="4" t="s">
        <v>45</v>
      </c>
      <c r="R8" s="3" t="s">
        <v>46</v>
      </c>
    </row>
    <row r="9" customFormat="false" ht="35.05" hidden="false" customHeight="false" outlineLevel="0" collapsed="false">
      <c r="A9" s="2" t="s">
        <v>77</v>
      </c>
      <c r="B9" s="2" t="s">
        <v>19</v>
      </c>
      <c r="C9" s="2" t="s">
        <v>78</v>
      </c>
      <c r="D9" s="2" t="s">
        <v>79</v>
      </c>
      <c r="E9" s="3" t="s">
        <v>80</v>
      </c>
      <c r="F9" s="3" t="s">
        <v>23</v>
      </c>
      <c r="G9" s="4" t="s">
        <v>24</v>
      </c>
      <c r="H9" s="2" t="s">
        <v>81</v>
      </c>
      <c r="I9" s="2" t="s">
        <v>26</v>
      </c>
      <c r="J9" s="4" t="s">
        <v>27</v>
      </c>
      <c r="K9" s="4" t="s">
        <v>60</v>
      </c>
      <c r="L9" s="2" t="s">
        <v>29</v>
      </c>
      <c r="M9" s="3" t="s">
        <v>30</v>
      </c>
      <c r="N9" s="4" t="s">
        <v>44</v>
      </c>
      <c r="O9" s="4" t="s">
        <v>32</v>
      </c>
      <c r="P9" s="4" t="s">
        <v>24</v>
      </c>
      <c r="Q9" s="4" t="s">
        <v>45</v>
      </c>
      <c r="R9" s="3" t="s">
        <v>82</v>
      </c>
    </row>
    <row r="10" customFormat="false" ht="23.85" hidden="false" customHeight="false" outlineLevel="0" collapsed="false">
      <c r="A10" s="2" t="s">
        <v>83</v>
      </c>
      <c r="B10" s="2" t="s">
        <v>19</v>
      </c>
      <c r="C10" s="2" t="s">
        <v>84</v>
      </c>
      <c r="D10" s="2" t="s">
        <v>85</v>
      </c>
      <c r="E10" s="3" t="s">
        <v>86</v>
      </c>
      <c r="F10" s="3" t="s">
        <v>87</v>
      </c>
      <c r="G10" s="4" t="s">
        <v>24</v>
      </c>
      <c r="H10" s="2" t="s">
        <v>40</v>
      </c>
      <c r="I10" s="2" t="s">
        <v>59</v>
      </c>
      <c r="J10" s="4" t="s">
        <v>88</v>
      </c>
      <c r="K10" s="4" t="s">
        <v>28</v>
      </c>
      <c r="L10" s="2" t="s">
        <v>76</v>
      </c>
      <c r="M10" s="3" t="s">
        <v>30</v>
      </c>
      <c r="N10" s="4" t="s">
        <v>44</v>
      </c>
      <c r="O10" s="4" t="s">
        <v>24</v>
      </c>
      <c r="P10" s="4" t="s">
        <v>24</v>
      </c>
      <c r="Q10" s="4" t="s">
        <v>52</v>
      </c>
      <c r="R10" s="3" t="s">
        <v>53</v>
      </c>
    </row>
    <row r="11" customFormat="false" ht="35.05" hidden="false" customHeight="false" outlineLevel="0" collapsed="false">
      <c r="A11" s="2" t="s">
        <v>89</v>
      </c>
      <c r="B11" s="2" t="s">
        <v>19</v>
      </c>
      <c r="C11" s="2" t="s">
        <v>90</v>
      </c>
      <c r="D11" s="2" t="s">
        <v>91</v>
      </c>
      <c r="E11" s="3" t="s">
        <v>92</v>
      </c>
      <c r="F11" s="3"/>
      <c r="G11" s="4" t="s">
        <v>24</v>
      </c>
      <c r="H11" s="2" t="s">
        <v>40</v>
      </c>
      <c r="I11" s="2" t="s">
        <v>26</v>
      </c>
      <c r="J11" s="4" t="s">
        <v>27</v>
      </c>
      <c r="K11" s="4" t="s">
        <v>28</v>
      </c>
      <c r="L11" s="2" t="s">
        <v>76</v>
      </c>
      <c r="M11" s="3" t="s">
        <v>30</v>
      </c>
      <c r="N11" s="4" t="s">
        <v>44</v>
      </c>
      <c r="O11" s="4" t="s">
        <v>24</v>
      </c>
      <c r="P11" s="4" t="s">
        <v>32</v>
      </c>
      <c r="Q11" s="4" t="s">
        <v>33</v>
      </c>
      <c r="R11" s="3" t="s">
        <v>93</v>
      </c>
    </row>
    <row r="12" customFormat="false" ht="57.45" hidden="false" customHeight="false" outlineLevel="0" collapsed="false">
      <c r="A12" s="2" t="s">
        <v>94</v>
      </c>
      <c r="B12" s="2" t="s">
        <v>19</v>
      </c>
      <c r="C12" s="2" t="s">
        <v>95</v>
      </c>
      <c r="D12" s="2" t="s">
        <v>96</v>
      </c>
      <c r="E12" s="3" t="s">
        <v>97</v>
      </c>
      <c r="F12" s="3"/>
      <c r="G12" s="4" t="s">
        <v>24</v>
      </c>
      <c r="H12" s="2" t="s">
        <v>51</v>
      </c>
      <c r="I12" s="2" t="s">
        <v>26</v>
      </c>
      <c r="J12" s="4" t="s">
        <v>27</v>
      </c>
      <c r="K12" s="4" t="s">
        <v>42</v>
      </c>
      <c r="L12" s="2" t="s">
        <v>29</v>
      </c>
      <c r="M12" s="3" t="s">
        <v>30</v>
      </c>
      <c r="N12" s="4" t="s">
        <v>44</v>
      </c>
      <c r="O12" s="4" t="s">
        <v>24</v>
      </c>
      <c r="P12" s="4" t="s">
        <v>32</v>
      </c>
      <c r="Q12" s="4" t="s">
        <v>33</v>
      </c>
      <c r="R12" s="3" t="s">
        <v>93</v>
      </c>
    </row>
    <row r="13" customFormat="false" ht="35.05" hidden="false" customHeight="false" outlineLevel="0" collapsed="false">
      <c r="A13" s="2" t="s">
        <v>98</v>
      </c>
      <c r="B13" s="2" t="s">
        <v>19</v>
      </c>
      <c r="C13" s="2" t="s">
        <v>99</v>
      </c>
      <c r="D13" s="2" t="s">
        <v>100</v>
      </c>
      <c r="E13" s="3" t="s">
        <v>101</v>
      </c>
      <c r="F13" s="3" t="s">
        <v>102</v>
      </c>
      <c r="G13" s="4" t="s">
        <v>24</v>
      </c>
      <c r="H13" s="2" t="s">
        <v>81</v>
      </c>
      <c r="I13" s="2" t="s">
        <v>26</v>
      </c>
      <c r="J13" s="4" t="s">
        <v>27</v>
      </c>
      <c r="K13" s="4" t="s">
        <v>60</v>
      </c>
      <c r="L13" s="2" t="s">
        <v>29</v>
      </c>
      <c r="M13" s="3" t="s">
        <v>30</v>
      </c>
      <c r="N13" s="4" t="s">
        <v>44</v>
      </c>
      <c r="O13" s="4" t="s">
        <v>24</v>
      </c>
      <c r="P13" s="4" t="s">
        <v>24</v>
      </c>
      <c r="Q13" s="4" t="s">
        <v>52</v>
      </c>
      <c r="R13" s="3" t="s">
        <v>53</v>
      </c>
    </row>
    <row r="14" customFormat="false" ht="23.85" hidden="false" customHeight="false" outlineLevel="0" collapsed="false">
      <c r="A14" s="2" t="s">
        <v>103</v>
      </c>
      <c r="B14" s="2" t="s">
        <v>19</v>
      </c>
      <c r="C14" s="2" t="s">
        <v>104</v>
      </c>
      <c r="D14" s="2" t="s">
        <v>105</v>
      </c>
      <c r="E14" s="3" t="s">
        <v>106</v>
      </c>
      <c r="F14" s="3" t="s">
        <v>107</v>
      </c>
      <c r="G14" s="4" t="s">
        <v>31</v>
      </c>
      <c r="H14" s="2" t="s">
        <v>25</v>
      </c>
      <c r="I14" s="2" t="s">
        <v>108</v>
      </c>
      <c r="J14" s="4" t="s">
        <v>27</v>
      </c>
      <c r="K14" s="4" t="s">
        <v>42</v>
      </c>
      <c r="L14" s="2" t="s">
        <v>43</v>
      </c>
      <c r="M14" s="3" t="s">
        <v>30</v>
      </c>
      <c r="N14" s="4" t="s">
        <v>44</v>
      </c>
      <c r="O14" s="4" t="s">
        <v>24</v>
      </c>
      <c r="P14" s="4" t="s">
        <v>32</v>
      </c>
      <c r="Q14" s="4" t="s">
        <v>33</v>
      </c>
      <c r="R14" s="3" t="s">
        <v>109</v>
      </c>
    </row>
    <row r="15" customFormat="false" ht="15" hidden="false" customHeight="false" outlineLevel="0" collapsed="false">
      <c r="A15" s="2" t="s">
        <v>110</v>
      </c>
      <c r="B15" s="2" t="s">
        <v>19</v>
      </c>
      <c r="C15" s="2" t="s">
        <v>111</v>
      </c>
      <c r="D15" s="2" t="s">
        <v>112</v>
      </c>
      <c r="E15" s="3" t="s">
        <v>113</v>
      </c>
      <c r="F15" s="3" t="s">
        <v>107</v>
      </c>
      <c r="G15" s="4" t="s">
        <v>24</v>
      </c>
      <c r="H15" s="2" t="s">
        <v>25</v>
      </c>
      <c r="I15" s="2" t="s">
        <v>108</v>
      </c>
      <c r="J15" s="4" t="s">
        <v>27</v>
      </c>
      <c r="K15" s="4" t="s">
        <v>42</v>
      </c>
      <c r="L15" s="2" t="s">
        <v>43</v>
      </c>
      <c r="M15" s="3" t="s">
        <v>30</v>
      </c>
      <c r="N15" s="4" t="s">
        <v>44</v>
      </c>
      <c r="O15" s="4" t="s">
        <v>24</v>
      </c>
      <c r="P15" s="4" t="s">
        <v>24</v>
      </c>
      <c r="Q15" s="4" t="s">
        <v>52</v>
      </c>
      <c r="R15" s="3" t="s">
        <v>53</v>
      </c>
    </row>
    <row r="16" customFormat="false" ht="23.85" hidden="false" customHeight="false" outlineLevel="0" collapsed="false">
      <c r="A16" s="2" t="s">
        <v>114</v>
      </c>
      <c r="B16" s="2" t="s">
        <v>19</v>
      </c>
      <c r="C16" s="2" t="s">
        <v>115</v>
      </c>
      <c r="D16" s="2" t="s">
        <v>116</v>
      </c>
      <c r="E16" s="3" t="s">
        <v>117</v>
      </c>
      <c r="F16" s="3" t="s">
        <v>107</v>
      </c>
      <c r="G16" s="4" t="s">
        <v>24</v>
      </c>
      <c r="H16" s="2" t="s">
        <v>25</v>
      </c>
      <c r="I16" s="2" t="s">
        <v>108</v>
      </c>
      <c r="J16" s="4" t="s">
        <v>27</v>
      </c>
      <c r="K16" s="4" t="s">
        <v>42</v>
      </c>
      <c r="L16" s="2" t="s">
        <v>43</v>
      </c>
      <c r="M16" s="3" t="s">
        <v>30</v>
      </c>
      <c r="N16" s="4" t="s">
        <v>44</v>
      </c>
      <c r="O16" s="4" t="s">
        <v>24</v>
      </c>
      <c r="P16" s="4" t="s">
        <v>24</v>
      </c>
      <c r="Q16" s="4" t="s">
        <v>52</v>
      </c>
      <c r="R16" s="3" t="s">
        <v>53</v>
      </c>
    </row>
    <row r="17" customFormat="false" ht="23.85" hidden="false" customHeight="false" outlineLevel="0" collapsed="false">
      <c r="A17" s="2" t="s">
        <v>118</v>
      </c>
      <c r="B17" s="2" t="s">
        <v>19</v>
      </c>
      <c r="C17" s="2" t="s">
        <v>119</v>
      </c>
      <c r="D17" s="2" t="s">
        <v>120</v>
      </c>
      <c r="E17" s="3" t="s">
        <v>121</v>
      </c>
      <c r="F17" s="3" t="s">
        <v>107</v>
      </c>
      <c r="G17" s="4" t="s">
        <v>24</v>
      </c>
      <c r="H17" s="2" t="s">
        <v>25</v>
      </c>
      <c r="I17" s="2" t="s">
        <v>41</v>
      </c>
      <c r="J17" s="4" t="s">
        <v>27</v>
      </c>
      <c r="K17" s="4" t="s">
        <v>60</v>
      </c>
      <c r="L17" s="2" t="s">
        <v>29</v>
      </c>
      <c r="M17" s="3" t="s">
        <v>30</v>
      </c>
      <c r="N17" s="4" t="s">
        <v>44</v>
      </c>
      <c r="O17" s="4" t="s">
        <v>24</v>
      </c>
      <c r="P17" s="4" t="s">
        <v>24</v>
      </c>
      <c r="Q17" s="4" t="s">
        <v>45</v>
      </c>
      <c r="R17" s="3" t="s">
        <v>46</v>
      </c>
    </row>
    <row r="18" customFormat="false" ht="35.05" hidden="false" customHeight="false" outlineLevel="0" collapsed="false">
      <c r="A18" s="2" t="s">
        <v>122</v>
      </c>
      <c r="B18" s="2" t="s">
        <v>19</v>
      </c>
      <c r="C18" s="2" t="s">
        <v>123</v>
      </c>
      <c r="D18" s="2" t="s">
        <v>124</v>
      </c>
      <c r="E18" s="3" t="s">
        <v>125</v>
      </c>
      <c r="F18" s="3" t="s">
        <v>75</v>
      </c>
      <c r="G18" s="4" t="s">
        <v>24</v>
      </c>
      <c r="H18" s="2" t="s">
        <v>40</v>
      </c>
      <c r="I18" s="2" t="s">
        <v>59</v>
      </c>
      <c r="J18" s="4" t="s">
        <v>27</v>
      </c>
      <c r="K18" s="4" t="s">
        <v>28</v>
      </c>
      <c r="L18" s="2" t="s">
        <v>126</v>
      </c>
      <c r="M18" s="3" t="s">
        <v>30</v>
      </c>
      <c r="N18" s="4" t="s">
        <v>44</v>
      </c>
      <c r="O18" s="4" t="s">
        <v>24</v>
      </c>
      <c r="P18" s="4" t="s">
        <v>24</v>
      </c>
      <c r="Q18" s="4" t="s">
        <v>52</v>
      </c>
      <c r="R18" s="3" t="s">
        <v>53</v>
      </c>
    </row>
    <row r="19" customFormat="false" ht="35.05" hidden="false" customHeight="false" outlineLevel="0" collapsed="false">
      <c r="A19" s="2" t="s">
        <v>127</v>
      </c>
      <c r="B19" s="2" t="s">
        <v>19</v>
      </c>
      <c r="C19" s="2" t="s">
        <v>128</v>
      </c>
      <c r="D19" s="2" t="s">
        <v>129</v>
      </c>
      <c r="E19" s="3" t="s">
        <v>130</v>
      </c>
      <c r="F19" s="3" t="s">
        <v>131</v>
      </c>
      <c r="G19" s="4" t="s">
        <v>24</v>
      </c>
      <c r="H19" s="2" t="s">
        <v>40</v>
      </c>
      <c r="I19" s="2" t="s">
        <v>59</v>
      </c>
      <c r="J19" s="4" t="s">
        <v>27</v>
      </c>
      <c r="K19" s="4" t="s">
        <v>28</v>
      </c>
      <c r="L19" s="2" t="s">
        <v>29</v>
      </c>
      <c r="M19" s="3" t="s">
        <v>30</v>
      </c>
      <c r="N19" s="4" t="s">
        <v>44</v>
      </c>
      <c r="O19" s="4" t="s">
        <v>24</v>
      </c>
      <c r="P19" s="4" t="s">
        <v>24</v>
      </c>
      <c r="Q19" s="4" t="s">
        <v>52</v>
      </c>
      <c r="R19" s="3" t="s">
        <v>53</v>
      </c>
    </row>
    <row r="20" customFormat="false" ht="46.25" hidden="false" customHeight="false" outlineLevel="0" collapsed="false">
      <c r="A20" s="2" t="s">
        <v>132</v>
      </c>
      <c r="B20" s="2" t="s">
        <v>19</v>
      </c>
      <c r="C20" s="2" t="s">
        <v>133</v>
      </c>
      <c r="D20" s="2" t="s">
        <v>134</v>
      </c>
      <c r="E20" s="3" t="s">
        <v>135</v>
      </c>
      <c r="F20" s="3" t="s">
        <v>69</v>
      </c>
      <c r="G20" s="4" t="s">
        <v>24</v>
      </c>
      <c r="H20" s="2" t="s">
        <v>51</v>
      </c>
      <c r="I20" s="2" t="s">
        <v>26</v>
      </c>
      <c r="J20" s="4" t="s">
        <v>27</v>
      </c>
      <c r="K20" s="4" t="s">
        <v>28</v>
      </c>
      <c r="L20" s="2" t="s">
        <v>126</v>
      </c>
      <c r="M20" s="3" t="s">
        <v>30</v>
      </c>
      <c r="N20" s="4" t="s">
        <v>44</v>
      </c>
      <c r="O20" s="4" t="s">
        <v>24</v>
      </c>
      <c r="P20" s="4" t="s">
        <v>24</v>
      </c>
      <c r="Q20" s="4" t="s">
        <v>52</v>
      </c>
      <c r="R20" s="3" t="s">
        <v>53</v>
      </c>
    </row>
    <row r="21" customFormat="false" ht="46.25" hidden="false" customHeight="false" outlineLevel="0" collapsed="false">
      <c r="A21" s="2" t="s">
        <v>136</v>
      </c>
      <c r="B21" s="2" t="s">
        <v>19</v>
      </c>
      <c r="C21" s="2" t="s">
        <v>137</v>
      </c>
      <c r="D21" s="2" t="s">
        <v>138</v>
      </c>
      <c r="E21" s="3" t="s">
        <v>139</v>
      </c>
      <c r="F21" s="3" t="s">
        <v>140</v>
      </c>
      <c r="G21" s="4" t="s">
        <v>31</v>
      </c>
      <c r="H21" s="2" t="s">
        <v>81</v>
      </c>
      <c r="I21" s="2" t="s">
        <v>26</v>
      </c>
      <c r="J21" s="4" t="s">
        <v>27</v>
      </c>
      <c r="K21" s="4" t="s">
        <v>42</v>
      </c>
      <c r="L21" s="2" t="s">
        <v>76</v>
      </c>
      <c r="M21" s="3" t="s">
        <v>30</v>
      </c>
      <c r="N21" s="4" t="s">
        <v>44</v>
      </c>
      <c r="O21" s="4" t="s">
        <v>24</v>
      </c>
      <c r="P21" s="4" t="s">
        <v>32</v>
      </c>
      <c r="Q21" s="4" t="s">
        <v>33</v>
      </c>
      <c r="R21" s="3" t="s">
        <v>109</v>
      </c>
    </row>
    <row r="22" customFormat="false" ht="46.25" hidden="false" customHeight="false" outlineLevel="0" collapsed="false">
      <c r="A22" s="2" t="s">
        <v>141</v>
      </c>
      <c r="B22" s="2" t="s">
        <v>19</v>
      </c>
      <c r="C22" s="2" t="s">
        <v>142</v>
      </c>
      <c r="D22" s="2" t="s">
        <v>143</v>
      </c>
      <c r="E22" s="3" t="s">
        <v>144</v>
      </c>
      <c r="F22" s="3" t="s">
        <v>131</v>
      </c>
      <c r="G22" s="4" t="s">
        <v>24</v>
      </c>
      <c r="H22" s="2" t="s">
        <v>25</v>
      </c>
      <c r="I22" s="2" t="s">
        <v>26</v>
      </c>
      <c r="J22" s="4" t="s">
        <v>88</v>
      </c>
      <c r="K22" s="4" t="s">
        <v>60</v>
      </c>
      <c r="L22" s="2" t="s">
        <v>126</v>
      </c>
      <c r="M22" s="3" t="s">
        <v>30</v>
      </c>
      <c r="N22" s="4" t="s">
        <v>44</v>
      </c>
      <c r="O22" s="4" t="s">
        <v>24</v>
      </c>
      <c r="P22" s="4" t="s">
        <v>24</v>
      </c>
      <c r="Q22" s="4" t="s">
        <v>52</v>
      </c>
      <c r="R22" s="3" t="s">
        <v>53</v>
      </c>
    </row>
    <row r="23" customFormat="false" ht="46.25" hidden="false" customHeight="false" outlineLevel="0" collapsed="false">
      <c r="A23" s="2" t="s">
        <v>145</v>
      </c>
      <c r="B23" s="2" t="s">
        <v>19</v>
      </c>
      <c r="C23" s="2" t="s">
        <v>146</v>
      </c>
      <c r="D23" s="2" t="s">
        <v>147</v>
      </c>
      <c r="E23" s="3" t="s">
        <v>148</v>
      </c>
      <c r="F23" s="3" t="s">
        <v>23</v>
      </c>
      <c r="G23" s="4" t="s">
        <v>24</v>
      </c>
      <c r="H23" s="2" t="s">
        <v>40</v>
      </c>
      <c r="I23" s="2" t="s">
        <v>26</v>
      </c>
      <c r="J23" s="4" t="s">
        <v>27</v>
      </c>
      <c r="K23" s="4" t="s">
        <v>42</v>
      </c>
      <c r="L23" s="2" t="s">
        <v>43</v>
      </c>
      <c r="M23" s="3" t="s">
        <v>30</v>
      </c>
      <c r="N23" s="4" t="s">
        <v>44</v>
      </c>
      <c r="O23" s="4" t="s">
        <v>24</v>
      </c>
      <c r="P23" s="4" t="s">
        <v>24</v>
      </c>
      <c r="Q23" s="4" t="s">
        <v>52</v>
      </c>
      <c r="R23" s="3" t="s">
        <v>53</v>
      </c>
    </row>
    <row r="24" customFormat="false" ht="35.05" hidden="false" customHeight="false" outlineLevel="0" collapsed="false">
      <c r="A24" s="2" t="s">
        <v>149</v>
      </c>
      <c r="B24" s="2" t="s">
        <v>19</v>
      </c>
      <c r="C24" s="2" t="s">
        <v>150</v>
      </c>
      <c r="D24" s="2" t="s">
        <v>151</v>
      </c>
      <c r="E24" s="3" t="s">
        <v>152</v>
      </c>
      <c r="F24" s="3" t="s">
        <v>23</v>
      </c>
      <c r="G24" s="4" t="s">
        <v>24</v>
      </c>
      <c r="H24" s="2" t="s">
        <v>51</v>
      </c>
      <c r="I24" s="2" t="s">
        <v>26</v>
      </c>
      <c r="J24" s="4" t="s">
        <v>27</v>
      </c>
      <c r="K24" s="4" t="s">
        <v>28</v>
      </c>
      <c r="L24" s="2" t="s">
        <v>43</v>
      </c>
      <c r="M24" s="3" t="s">
        <v>30</v>
      </c>
      <c r="N24" s="4" t="s">
        <v>44</v>
      </c>
      <c r="O24" s="4" t="s">
        <v>24</v>
      </c>
      <c r="P24" s="4" t="s">
        <v>24</v>
      </c>
      <c r="Q24" s="4" t="s">
        <v>52</v>
      </c>
      <c r="R24" s="3" t="s">
        <v>53</v>
      </c>
    </row>
    <row r="25" customFormat="false" ht="35.05" hidden="false" customHeight="false" outlineLevel="0" collapsed="false">
      <c r="A25" s="2" t="s">
        <v>153</v>
      </c>
      <c r="B25" s="2" t="s">
        <v>19</v>
      </c>
      <c r="C25" s="2" t="s">
        <v>154</v>
      </c>
      <c r="D25" s="2" t="s">
        <v>155</v>
      </c>
      <c r="E25" s="3" t="s">
        <v>156</v>
      </c>
      <c r="F25" s="3" t="s">
        <v>23</v>
      </c>
      <c r="G25" s="4" t="s">
        <v>24</v>
      </c>
      <c r="H25" s="2" t="s">
        <v>81</v>
      </c>
      <c r="I25" s="2" t="s">
        <v>26</v>
      </c>
      <c r="J25" s="4" t="s">
        <v>27</v>
      </c>
      <c r="K25" s="4" t="s">
        <v>60</v>
      </c>
      <c r="L25" s="2" t="s">
        <v>29</v>
      </c>
      <c r="M25" s="3"/>
      <c r="N25" s="4" t="s">
        <v>44</v>
      </c>
      <c r="O25" s="4" t="s">
        <v>24</v>
      </c>
      <c r="P25" s="4" t="s">
        <v>24</v>
      </c>
      <c r="Q25" s="4" t="s">
        <v>45</v>
      </c>
      <c r="R25" s="3" t="s">
        <v>157</v>
      </c>
    </row>
    <row r="26" customFormat="false" ht="35.05" hidden="false" customHeight="false" outlineLevel="0" collapsed="false">
      <c r="A26" s="2" t="s">
        <v>158</v>
      </c>
      <c r="B26" s="2" t="s">
        <v>19</v>
      </c>
      <c r="C26" s="2" t="s">
        <v>159</v>
      </c>
      <c r="D26" s="2" t="s">
        <v>160</v>
      </c>
      <c r="E26" s="3" t="s">
        <v>161</v>
      </c>
      <c r="F26" s="3" t="s">
        <v>23</v>
      </c>
      <c r="G26" s="4" t="s">
        <v>24</v>
      </c>
      <c r="H26" s="2" t="s">
        <v>25</v>
      </c>
      <c r="I26" s="2" t="s">
        <v>26</v>
      </c>
      <c r="J26" s="4" t="s">
        <v>27</v>
      </c>
      <c r="K26" s="4" t="s">
        <v>60</v>
      </c>
      <c r="L26" s="2" t="s">
        <v>29</v>
      </c>
      <c r="M26" s="3" t="s">
        <v>30</v>
      </c>
      <c r="N26" s="4" t="s">
        <v>44</v>
      </c>
      <c r="O26" s="4" t="s">
        <v>24</v>
      </c>
      <c r="P26" s="4" t="s">
        <v>24</v>
      </c>
      <c r="Q26" s="4" t="s">
        <v>52</v>
      </c>
      <c r="R26" s="3" t="s">
        <v>53</v>
      </c>
    </row>
    <row r="27" customFormat="false" ht="46.25" hidden="false" customHeight="false" outlineLevel="0" collapsed="false">
      <c r="A27" s="2" t="s">
        <v>162</v>
      </c>
      <c r="B27" s="2" t="s">
        <v>19</v>
      </c>
      <c r="C27" s="2" t="s">
        <v>163</v>
      </c>
      <c r="D27" s="2" t="s">
        <v>164</v>
      </c>
      <c r="E27" s="3" t="s">
        <v>165</v>
      </c>
      <c r="F27" s="3" t="s">
        <v>166</v>
      </c>
      <c r="G27" s="4" t="s">
        <v>24</v>
      </c>
      <c r="H27" s="2" t="s">
        <v>40</v>
      </c>
      <c r="I27" s="2" t="s">
        <v>26</v>
      </c>
      <c r="J27" s="4"/>
      <c r="K27" s="4" t="s">
        <v>60</v>
      </c>
      <c r="L27" s="2"/>
      <c r="M27" s="3" t="s">
        <v>30</v>
      </c>
      <c r="N27" s="4" t="s">
        <v>44</v>
      </c>
      <c r="O27" s="4" t="s">
        <v>24</v>
      </c>
      <c r="P27" s="4" t="s">
        <v>32</v>
      </c>
      <c r="Q27" s="4" t="s">
        <v>33</v>
      </c>
      <c r="R27" s="3" t="s">
        <v>167</v>
      </c>
    </row>
    <row r="28" customFormat="false" ht="46.25" hidden="false" customHeight="false" outlineLevel="0" collapsed="false">
      <c r="A28" s="2" t="s">
        <v>168</v>
      </c>
      <c r="B28" s="2" t="s">
        <v>19</v>
      </c>
      <c r="C28" s="2" t="s">
        <v>169</v>
      </c>
      <c r="D28" s="2" t="s">
        <v>170</v>
      </c>
      <c r="E28" s="3" t="s">
        <v>171</v>
      </c>
      <c r="F28" s="3" t="s">
        <v>166</v>
      </c>
      <c r="G28" s="4" t="s">
        <v>24</v>
      </c>
      <c r="H28" s="2" t="s">
        <v>51</v>
      </c>
      <c r="I28" s="2" t="s">
        <v>26</v>
      </c>
      <c r="J28" s="4" t="s">
        <v>27</v>
      </c>
      <c r="K28" s="4" t="s">
        <v>42</v>
      </c>
      <c r="L28" s="2" t="s">
        <v>43</v>
      </c>
      <c r="M28" s="3" t="s">
        <v>30</v>
      </c>
      <c r="N28" s="4" t="s">
        <v>44</v>
      </c>
      <c r="O28" s="4" t="s">
        <v>24</v>
      </c>
      <c r="P28" s="4" t="s">
        <v>24</v>
      </c>
      <c r="Q28" s="4" t="s">
        <v>52</v>
      </c>
      <c r="R28" s="3" t="s">
        <v>53</v>
      </c>
    </row>
    <row r="29" customFormat="false" ht="35.05" hidden="false" customHeight="false" outlineLevel="0" collapsed="false">
      <c r="A29" s="2" t="s">
        <v>172</v>
      </c>
      <c r="B29" s="2" t="s">
        <v>19</v>
      </c>
      <c r="C29" s="2" t="s">
        <v>173</v>
      </c>
      <c r="D29" s="2" t="s">
        <v>174</v>
      </c>
      <c r="E29" s="3" t="s">
        <v>175</v>
      </c>
      <c r="F29" s="3"/>
      <c r="G29" s="4" t="s">
        <v>24</v>
      </c>
      <c r="H29" s="2" t="s">
        <v>81</v>
      </c>
      <c r="I29" s="2" t="s">
        <v>26</v>
      </c>
      <c r="J29" s="4" t="s">
        <v>27</v>
      </c>
      <c r="K29" s="4" t="s">
        <v>28</v>
      </c>
      <c r="L29" s="2" t="s">
        <v>43</v>
      </c>
      <c r="M29" s="3" t="s">
        <v>30</v>
      </c>
      <c r="N29" s="4" t="s">
        <v>44</v>
      </c>
      <c r="O29" s="4" t="s">
        <v>24</v>
      </c>
      <c r="P29" s="4" t="s">
        <v>32</v>
      </c>
      <c r="Q29" s="4" t="s">
        <v>33</v>
      </c>
      <c r="R29" s="3" t="s">
        <v>93</v>
      </c>
    </row>
    <row r="30" customFormat="false" ht="46.25" hidden="false" customHeight="false" outlineLevel="0" collapsed="false">
      <c r="A30" s="2" t="s">
        <v>176</v>
      </c>
      <c r="B30" s="2" t="s">
        <v>177</v>
      </c>
      <c r="C30" s="2" t="s">
        <v>178</v>
      </c>
      <c r="D30" s="2" t="s">
        <v>37</v>
      </c>
      <c r="E30" s="3" t="s">
        <v>179</v>
      </c>
      <c r="F30" s="3" t="s">
        <v>75</v>
      </c>
      <c r="G30" s="4" t="s">
        <v>24</v>
      </c>
      <c r="H30" s="2" t="s">
        <v>180</v>
      </c>
      <c r="I30" s="2" t="s">
        <v>181</v>
      </c>
      <c r="J30" s="4" t="s">
        <v>88</v>
      </c>
      <c r="K30" s="4" t="s">
        <v>28</v>
      </c>
      <c r="L30" s="2" t="s">
        <v>29</v>
      </c>
      <c r="M30" s="3" t="s">
        <v>182</v>
      </c>
      <c r="N30" s="4" t="s">
        <v>44</v>
      </c>
      <c r="O30" s="4" t="s">
        <v>24</v>
      </c>
      <c r="P30" s="4" t="s">
        <v>24</v>
      </c>
      <c r="Q30" s="4" t="s">
        <v>52</v>
      </c>
      <c r="R30" s="3" t="s">
        <v>53</v>
      </c>
    </row>
    <row r="31" customFormat="false" ht="57.45" hidden="false" customHeight="false" outlineLevel="0" collapsed="false">
      <c r="A31" s="2" t="s">
        <v>183</v>
      </c>
      <c r="B31" s="2" t="s">
        <v>177</v>
      </c>
      <c r="C31" s="2" t="s">
        <v>184</v>
      </c>
      <c r="D31" s="2" t="s">
        <v>185</v>
      </c>
      <c r="E31" s="3" t="s">
        <v>186</v>
      </c>
      <c r="F31" s="3" t="s">
        <v>187</v>
      </c>
      <c r="G31" s="4" t="s">
        <v>24</v>
      </c>
      <c r="H31" s="2" t="s">
        <v>180</v>
      </c>
      <c r="I31" s="2" t="s">
        <v>181</v>
      </c>
      <c r="J31" s="4" t="s">
        <v>27</v>
      </c>
      <c r="K31" s="4" t="s">
        <v>28</v>
      </c>
      <c r="L31" s="2" t="s">
        <v>29</v>
      </c>
      <c r="M31" s="3" t="s">
        <v>182</v>
      </c>
      <c r="N31" s="4" t="s">
        <v>44</v>
      </c>
      <c r="O31" s="4" t="s">
        <v>24</v>
      </c>
      <c r="P31" s="4" t="s">
        <v>24</v>
      </c>
      <c r="Q31" s="4" t="s">
        <v>52</v>
      </c>
      <c r="R31" s="3" t="s">
        <v>53</v>
      </c>
    </row>
    <row r="32" customFormat="false" ht="57.45" hidden="false" customHeight="false" outlineLevel="0" collapsed="false">
      <c r="A32" s="2" t="s">
        <v>188</v>
      </c>
      <c r="B32" s="2" t="s">
        <v>177</v>
      </c>
      <c r="C32" s="2" t="s">
        <v>189</v>
      </c>
      <c r="D32" s="2" t="s">
        <v>63</v>
      </c>
      <c r="E32" s="3" t="s">
        <v>190</v>
      </c>
      <c r="F32" s="3" t="s">
        <v>75</v>
      </c>
      <c r="G32" s="4" t="s">
        <v>24</v>
      </c>
      <c r="H32" s="2" t="s">
        <v>191</v>
      </c>
      <c r="I32" s="2" t="s">
        <v>192</v>
      </c>
      <c r="J32" s="4" t="s">
        <v>27</v>
      </c>
      <c r="K32" s="4" t="s">
        <v>42</v>
      </c>
      <c r="L32" s="2" t="s">
        <v>29</v>
      </c>
      <c r="M32" s="3" t="s">
        <v>182</v>
      </c>
      <c r="N32" s="4" t="s">
        <v>31</v>
      </c>
      <c r="O32" s="4" t="s">
        <v>24</v>
      </c>
      <c r="P32" s="4" t="s">
        <v>32</v>
      </c>
      <c r="Q32" s="4" t="s">
        <v>33</v>
      </c>
      <c r="R32" s="3" t="s">
        <v>34</v>
      </c>
    </row>
    <row r="33" customFormat="false" ht="35.05" hidden="false" customHeight="false" outlineLevel="0" collapsed="false">
      <c r="A33" s="2" t="s">
        <v>193</v>
      </c>
      <c r="B33" s="2" t="s">
        <v>177</v>
      </c>
      <c r="C33" s="2" t="s">
        <v>194</v>
      </c>
      <c r="D33" s="2" t="s">
        <v>21</v>
      </c>
      <c r="E33" s="3" t="s">
        <v>195</v>
      </c>
      <c r="F33" s="3"/>
      <c r="G33" s="4" t="s">
        <v>24</v>
      </c>
      <c r="H33" s="2" t="s">
        <v>180</v>
      </c>
      <c r="I33" s="2" t="s">
        <v>181</v>
      </c>
      <c r="J33" s="4" t="s">
        <v>27</v>
      </c>
      <c r="K33" s="4" t="s">
        <v>42</v>
      </c>
      <c r="L33" s="2" t="s">
        <v>43</v>
      </c>
      <c r="M33" s="3" t="s">
        <v>182</v>
      </c>
      <c r="N33" s="4" t="s">
        <v>44</v>
      </c>
      <c r="O33" s="4" t="s">
        <v>24</v>
      </c>
      <c r="P33" s="4" t="s">
        <v>32</v>
      </c>
      <c r="Q33" s="4" t="s">
        <v>33</v>
      </c>
      <c r="R33" s="3" t="s">
        <v>93</v>
      </c>
    </row>
    <row r="34" customFormat="false" ht="46.25" hidden="false" customHeight="false" outlineLevel="0" collapsed="false">
      <c r="A34" s="2" t="s">
        <v>196</v>
      </c>
      <c r="B34" s="2" t="s">
        <v>177</v>
      </c>
      <c r="C34" s="2" t="s">
        <v>197</v>
      </c>
      <c r="D34" s="2" t="s">
        <v>198</v>
      </c>
      <c r="E34" s="3" t="s">
        <v>199</v>
      </c>
      <c r="F34" s="3" t="s">
        <v>75</v>
      </c>
      <c r="G34" s="4" t="s">
        <v>31</v>
      </c>
      <c r="H34" s="2" t="s">
        <v>180</v>
      </c>
      <c r="I34" s="2" t="s">
        <v>181</v>
      </c>
      <c r="J34" s="4" t="s">
        <v>27</v>
      </c>
      <c r="K34" s="4" t="s">
        <v>28</v>
      </c>
      <c r="L34" s="2" t="s">
        <v>43</v>
      </c>
      <c r="M34" s="3" t="s">
        <v>182</v>
      </c>
      <c r="N34" s="4" t="s">
        <v>44</v>
      </c>
      <c r="O34" s="4" t="s">
        <v>24</v>
      </c>
      <c r="P34" s="4" t="s">
        <v>32</v>
      </c>
      <c r="Q34" s="4" t="s">
        <v>33</v>
      </c>
      <c r="R34" s="3" t="s">
        <v>109</v>
      </c>
    </row>
    <row r="35" customFormat="false" ht="57.45" hidden="false" customHeight="false" outlineLevel="0" collapsed="false">
      <c r="A35" s="2" t="s">
        <v>200</v>
      </c>
      <c r="B35" s="2" t="s">
        <v>177</v>
      </c>
      <c r="C35" s="2" t="s">
        <v>201</v>
      </c>
      <c r="D35" s="2" t="s">
        <v>67</v>
      </c>
      <c r="E35" s="3" t="s">
        <v>202</v>
      </c>
      <c r="F35" s="3" t="s">
        <v>69</v>
      </c>
      <c r="G35" s="4" t="s">
        <v>31</v>
      </c>
      <c r="H35" s="2" t="s">
        <v>180</v>
      </c>
      <c r="I35" s="2" t="s">
        <v>181</v>
      </c>
      <c r="J35" s="4" t="s">
        <v>27</v>
      </c>
      <c r="K35" s="4" t="s">
        <v>42</v>
      </c>
      <c r="L35" s="2" t="s">
        <v>29</v>
      </c>
      <c r="M35" s="3" t="s">
        <v>182</v>
      </c>
      <c r="N35" s="4" t="s">
        <v>44</v>
      </c>
      <c r="O35" s="4" t="s">
        <v>24</v>
      </c>
      <c r="P35" s="4" t="s">
        <v>32</v>
      </c>
      <c r="Q35" s="4" t="s">
        <v>33</v>
      </c>
      <c r="R35" s="3" t="s">
        <v>109</v>
      </c>
    </row>
    <row r="36" customFormat="false" ht="23.85" hidden="false" customHeight="false" outlineLevel="0" collapsed="false">
      <c r="A36" s="2" t="s">
        <v>203</v>
      </c>
      <c r="B36" s="2" t="s">
        <v>177</v>
      </c>
      <c r="C36" s="2" t="s">
        <v>204</v>
      </c>
      <c r="D36" s="2" t="s">
        <v>49</v>
      </c>
      <c r="E36" s="3" t="s">
        <v>205</v>
      </c>
      <c r="F36" s="3" t="s">
        <v>107</v>
      </c>
      <c r="G36" s="4" t="s">
        <v>24</v>
      </c>
      <c r="H36" s="2" t="s">
        <v>206</v>
      </c>
      <c r="I36" s="2" t="s">
        <v>207</v>
      </c>
      <c r="J36" s="4" t="s">
        <v>27</v>
      </c>
      <c r="K36" s="4"/>
      <c r="L36" s="2" t="s">
        <v>76</v>
      </c>
      <c r="M36" s="3" t="s">
        <v>182</v>
      </c>
      <c r="N36" s="4" t="s">
        <v>44</v>
      </c>
      <c r="O36" s="4" t="s">
        <v>24</v>
      </c>
      <c r="P36" s="4" t="s">
        <v>24</v>
      </c>
      <c r="Q36" s="4" t="s">
        <v>45</v>
      </c>
      <c r="R36" s="3" t="s">
        <v>70</v>
      </c>
    </row>
    <row r="37" customFormat="false" ht="23.85" hidden="false" customHeight="false" outlineLevel="0" collapsed="false">
      <c r="A37" s="2" t="s">
        <v>208</v>
      </c>
      <c r="B37" s="2" t="s">
        <v>177</v>
      </c>
      <c r="C37" s="2" t="s">
        <v>209</v>
      </c>
      <c r="D37" s="2" t="s">
        <v>105</v>
      </c>
      <c r="E37" s="3" t="s">
        <v>210</v>
      </c>
      <c r="F37" s="3" t="s">
        <v>107</v>
      </c>
      <c r="G37" s="4" t="s">
        <v>24</v>
      </c>
      <c r="H37" s="2" t="s">
        <v>206</v>
      </c>
      <c r="I37" s="2" t="s">
        <v>207</v>
      </c>
      <c r="J37" s="4" t="s">
        <v>27</v>
      </c>
      <c r="K37" s="4" t="s">
        <v>60</v>
      </c>
      <c r="L37" s="2" t="s">
        <v>126</v>
      </c>
      <c r="M37" s="3" t="s">
        <v>182</v>
      </c>
      <c r="N37" s="4" t="s">
        <v>44</v>
      </c>
      <c r="O37" s="4" t="s">
        <v>24</v>
      </c>
      <c r="P37" s="4" t="s">
        <v>24</v>
      </c>
      <c r="Q37" s="4" t="s">
        <v>52</v>
      </c>
      <c r="R37" s="3" t="s">
        <v>53</v>
      </c>
    </row>
    <row r="38" customFormat="false" ht="35.05" hidden="false" customHeight="false" outlineLevel="0" collapsed="false">
      <c r="A38" s="2" t="s">
        <v>211</v>
      </c>
      <c r="B38" s="2" t="s">
        <v>177</v>
      </c>
      <c r="C38" s="2" t="s">
        <v>212</v>
      </c>
      <c r="D38" s="2" t="s">
        <v>120</v>
      </c>
      <c r="E38" s="3" t="s">
        <v>213</v>
      </c>
      <c r="F38" s="3" t="s">
        <v>214</v>
      </c>
      <c r="G38" s="4" t="s">
        <v>24</v>
      </c>
      <c r="H38" s="2" t="s">
        <v>180</v>
      </c>
      <c r="I38" s="2" t="s">
        <v>181</v>
      </c>
      <c r="J38" s="4" t="s">
        <v>27</v>
      </c>
      <c r="K38" s="4" t="s">
        <v>42</v>
      </c>
      <c r="L38" s="2" t="s">
        <v>29</v>
      </c>
      <c r="M38" s="3" t="s">
        <v>182</v>
      </c>
      <c r="N38" s="4" t="s">
        <v>44</v>
      </c>
      <c r="O38" s="4" t="s">
        <v>24</v>
      </c>
      <c r="P38" s="4" t="s">
        <v>24</v>
      </c>
      <c r="Q38" s="4" t="s">
        <v>52</v>
      </c>
      <c r="R38" s="3" t="s">
        <v>53</v>
      </c>
    </row>
    <row r="39" customFormat="false" ht="46.25" hidden="false" customHeight="false" outlineLevel="0" collapsed="false">
      <c r="A39" s="2" t="s">
        <v>215</v>
      </c>
      <c r="B39" s="2" t="s">
        <v>177</v>
      </c>
      <c r="C39" s="2" t="s">
        <v>216</v>
      </c>
      <c r="D39" s="2" t="s">
        <v>56</v>
      </c>
      <c r="E39" s="3" t="s">
        <v>217</v>
      </c>
      <c r="F39" s="3" t="s">
        <v>218</v>
      </c>
      <c r="G39" s="4" t="s">
        <v>24</v>
      </c>
      <c r="H39" s="2" t="s">
        <v>180</v>
      </c>
      <c r="I39" s="2" t="s">
        <v>181</v>
      </c>
      <c r="J39" s="4" t="s">
        <v>27</v>
      </c>
      <c r="K39" s="4" t="s">
        <v>28</v>
      </c>
      <c r="L39" s="2" t="s">
        <v>29</v>
      </c>
      <c r="M39" s="3" t="s">
        <v>182</v>
      </c>
      <c r="N39" s="4" t="s">
        <v>44</v>
      </c>
      <c r="O39" s="4" t="s">
        <v>24</v>
      </c>
      <c r="P39" s="4" t="s">
        <v>24</v>
      </c>
      <c r="Q39" s="4" t="s">
        <v>52</v>
      </c>
      <c r="R39" s="3" t="s">
        <v>53</v>
      </c>
    </row>
    <row r="40" customFormat="false" ht="35.05" hidden="false" customHeight="false" outlineLevel="0" collapsed="false">
      <c r="A40" s="2" t="s">
        <v>219</v>
      </c>
      <c r="B40" s="2" t="s">
        <v>177</v>
      </c>
      <c r="C40" s="2" t="s">
        <v>220</v>
      </c>
      <c r="D40" s="2" t="s">
        <v>221</v>
      </c>
      <c r="E40" s="3" t="s">
        <v>222</v>
      </c>
      <c r="F40" s="3" t="s">
        <v>75</v>
      </c>
      <c r="G40" s="4" t="s">
        <v>24</v>
      </c>
      <c r="H40" s="2" t="s">
        <v>191</v>
      </c>
      <c r="I40" s="2" t="s">
        <v>192</v>
      </c>
      <c r="J40" s="4" t="s">
        <v>27</v>
      </c>
      <c r="K40" s="4" t="s">
        <v>60</v>
      </c>
      <c r="L40" s="2" t="s">
        <v>43</v>
      </c>
      <c r="M40" s="3" t="s">
        <v>182</v>
      </c>
      <c r="N40" s="4" t="s">
        <v>44</v>
      </c>
      <c r="O40" s="4" t="s">
        <v>24</v>
      </c>
      <c r="P40" s="4" t="s">
        <v>24</v>
      </c>
      <c r="Q40" s="4" t="s">
        <v>52</v>
      </c>
      <c r="R40" s="3" t="s">
        <v>53</v>
      </c>
    </row>
    <row r="41" customFormat="false" ht="46.25" hidden="false" customHeight="false" outlineLevel="0" collapsed="false">
      <c r="A41" s="2" t="s">
        <v>223</v>
      </c>
      <c r="B41" s="2" t="s">
        <v>177</v>
      </c>
      <c r="C41" s="2" t="s">
        <v>224</v>
      </c>
      <c r="D41" s="2" t="s">
        <v>225</v>
      </c>
      <c r="E41" s="3" t="s">
        <v>226</v>
      </c>
      <c r="F41" s="3" t="s">
        <v>140</v>
      </c>
      <c r="G41" s="4" t="s">
        <v>24</v>
      </c>
      <c r="H41" s="2" t="s">
        <v>180</v>
      </c>
      <c r="I41" s="2" t="s">
        <v>181</v>
      </c>
      <c r="J41" s="4" t="s">
        <v>27</v>
      </c>
      <c r="K41" s="4" t="s">
        <v>42</v>
      </c>
      <c r="L41" s="2" t="s">
        <v>43</v>
      </c>
      <c r="M41" s="3" t="s">
        <v>182</v>
      </c>
      <c r="N41" s="4" t="s">
        <v>31</v>
      </c>
      <c r="O41" s="4" t="s">
        <v>24</v>
      </c>
      <c r="P41" s="4" t="s">
        <v>32</v>
      </c>
      <c r="Q41" s="4" t="s">
        <v>33</v>
      </c>
      <c r="R41" s="3" t="s">
        <v>34</v>
      </c>
    </row>
    <row r="42" customFormat="false" ht="57.45" hidden="false" customHeight="false" outlineLevel="0" collapsed="false">
      <c r="A42" s="2" t="s">
        <v>227</v>
      </c>
      <c r="B42" s="2" t="s">
        <v>177</v>
      </c>
      <c r="C42" s="2" t="s">
        <v>228</v>
      </c>
      <c r="D42" s="2" t="s">
        <v>85</v>
      </c>
      <c r="E42" s="3" t="s">
        <v>229</v>
      </c>
      <c r="F42" s="3" t="s">
        <v>230</v>
      </c>
      <c r="G42" s="4" t="s">
        <v>24</v>
      </c>
      <c r="H42" s="2" t="s">
        <v>180</v>
      </c>
      <c r="I42" s="2" t="s">
        <v>181</v>
      </c>
      <c r="J42" s="4" t="s">
        <v>27</v>
      </c>
      <c r="K42" s="4" t="s">
        <v>28</v>
      </c>
      <c r="L42" s="2" t="s">
        <v>29</v>
      </c>
      <c r="M42" s="3" t="s">
        <v>182</v>
      </c>
      <c r="N42" s="4" t="s">
        <v>44</v>
      </c>
      <c r="O42" s="4" t="s">
        <v>24</v>
      </c>
      <c r="P42" s="4" t="s">
        <v>24</v>
      </c>
      <c r="Q42" s="4" t="s">
        <v>52</v>
      </c>
      <c r="R42" s="3" t="s">
        <v>53</v>
      </c>
    </row>
    <row r="43" customFormat="false" ht="35.05" hidden="false" customHeight="false" outlineLevel="0" collapsed="false">
      <c r="A43" s="2" t="s">
        <v>231</v>
      </c>
      <c r="B43" s="2" t="s">
        <v>177</v>
      </c>
      <c r="C43" s="2" t="s">
        <v>232</v>
      </c>
      <c r="D43" s="2" t="s">
        <v>233</v>
      </c>
      <c r="E43" s="3" t="s">
        <v>234</v>
      </c>
      <c r="F43" s="3" t="s">
        <v>75</v>
      </c>
      <c r="G43" s="4" t="s">
        <v>24</v>
      </c>
      <c r="H43" s="2" t="s">
        <v>180</v>
      </c>
      <c r="I43" s="2" t="s">
        <v>181</v>
      </c>
      <c r="J43" s="4" t="s">
        <v>27</v>
      </c>
      <c r="K43" s="4" t="s">
        <v>42</v>
      </c>
      <c r="L43" s="2" t="s">
        <v>29</v>
      </c>
      <c r="M43" s="3" t="s">
        <v>182</v>
      </c>
      <c r="N43" s="4" t="s">
        <v>44</v>
      </c>
      <c r="O43" s="4" t="s">
        <v>24</v>
      </c>
      <c r="P43" s="4" t="s">
        <v>24</v>
      </c>
      <c r="Q43" s="4" t="s">
        <v>52</v>
      </c>
      <c r="R43" s="3" t="s">
        <v>53</v>
      </c>
    </row>
    <row r="44" customFormat="false" ht="23.85" hidden="false" customHeight="false" outlineLevel="0" collapsed="false">
      <c r="A44" s="2" t="s">
        <v>235</v>
      </c>
      <c r="B44" s="2" t="s">
        <v>177</v>
      </c>
      <c r="C44" s="2" t="s">
        <v>236</v>
      </c>
      <c r="D44" s="2" t="s">
        <v>112</v>
      </c>
      <c r="E44" s="3" t="s">
        <v>237</v>
      </c>
      <c r="F44" s="3" t="s">
        <v>23</v>
      </c>
      <c r="G44" s="4" t="s">
        <v>24</v>
      </c>
      <c r="H44" s="2" t="s">
        <v>191</v>
      </c>
      <c r="I44" s="2" t="s">
        <v>192</v>
      </c>
      <c r="J44" s="4" t="s">
        <v>27</v>
      </c>
      <c r="K44" s="4"/>
      <c r="L44" s="2" t="s">
        <v>76</v>
      </c>
      <c r="M44" s="3" t="s">
        <v>182</v>
      </c>
      <c r="N44" s="4" t="s">
        <v>44</v>
      </c>
      <c r="O44" s="4" t="s">
        <v>24</v>
      </c>
      <c r="P44" s="4" t="s">
        <v>24</v>
      </c>
      <c r="Q44" s="4" t="s">
        <v>45</v>
      </c>
      <c r="R44" s="3" t="s">
        <v>70</v>
      </c>
    </row>
    <row r="45" customFormat="false" ht="57.45" hidden="false" customHeight="false" outlineLevel="0" collapsed="false">
      <c r="A45" s="2" t="s">
        <v>238</v>
      </c>
      <c r="B45" s="2" t="s">
        <v>177</v>
      </c>
      <c r="C45" s="2" t="s">
        <v>239</v>
      </c>
      <c r="D45" s="2" t="s">
        <v>91</v>
      </c>
      <c r="E45" s="3" t="s">
        <v>240</v>
      </c>
      <c r="F45" s="3" t="s">
        <v>75</v>
      </c>
      <c r="G45" s="4" t="s">
        <v>24</v>
      </c>
      <c r="H45" s="2" t="s">
        <v>180</v>
      </c>
      <c r="I45" s="2" t="s">
        <v>181</v>
      </c>
      <c r="J45" s="4" t="s">
        <v>27</v>
      </c>
      <c r="K45" s="4"/>
      <c r="L45" s="2" t="s">
        <v>29</v>
      </c>
      <c r="M45" s="3" t="s">
        <v>182</v>
      </c>
      <c r="N45" s="4" t="s">
        <v>44</v>
      </c>
      <c r="O45" s="4" t="s">
        <v>24</v>
      </c>
      <c r="P45" s="4" t="s">
        <v>24</v>
      </c>
      <c r="Q45" s="4" t="s">
        <v>45</v>
      </c>
      <c r="R45" s="3" t="s">
        <v>70</v>
      </c>
    </row>
    <row r="46" customFormat="false" ht="46.25" hidden="false" customHeight="false" outlineLevel="0" collapsed="false">
      <c r="A46" s="2" t="s">
        <v>241</v>
      </c>
      <c r="B46" s="2" t="s">
        <v>177</v>
      </c>
      <c r="C46" s="2" t="s">
        <v>242</v>
      </c>
      <c r="D46" s="2" t="s">
        <v>37</v>
      </c>
      <c r="E46" s="3" t="s">
        <v>243</v>
      </c>
      <c r="F46" s="3" t="s">
        <v>69</v>
      </c>
      <c r="G46" s="4" t="s">
        <v>24</v>
      </c>
      <c r="H46" s="2" t="s">
        <v>244</v>
      </c>
      <c r="I46" s="2" t="s">
        <v>245</v>
      </c>
      <c r="J46" s="4" t="s">
        <v>27</v>
      </c>
      <c r="K46" s="4" t="s">
        <v>60</v>
      </c>
      <c r="L46" s="2" t="s">
        <v>29</v>
      </c>
      <c r="M46" s="3" t="s">
        <v>182</v>
      </c>
      <c r="N46" s="4" t="s">
        <v>44</v>
      </c>
      <c r="O46" s="4" t="s">
        <v>24</v>
      </c>
      <c r="P46" s="4" t="s">
        <v>24</v>
      </c>
      <c r="Q46" s="4" t="s">
        <v>52</v>
      </c>
      <c r="R46" s="3" t="s">
        <v>53</v>
      </c>
    </row>
    <row r="47" customFormat="false" ht="35.05" hidden="false" customHeight="false" outlineLevel="0" collapsed="false">
      <c r="A47" s="2" t="s">
        <v>246</v>
      </c>
      <c r="B47" s="2" t="s">
        <v>177</v>
      </c>
      <c r="C47" s="2" t="s">
        <v>247</v>
      </c>
      <c r="D47" s="2" t="s">
        <v>248</v>
      </c>
      <c r="E47" s="3" t="s">
        <v>249</v>
      </c>
      <c r="F47" s="3" t="s">
        <v>75</v>
      </c>
      <c r="G47" s="4" t="s">
        <v>24</v>
      </c>
      <c r="H47" s="2" t="s">
        <v>180</v>
      </c>
      <c r="I47" s="2" t="s">
        <v>181</v>
      </c>
      <c r="J47" s="4" t="s">
        <v>27</v>
      </c>
      <c r="K47" s="4" t="s">
        <v>42</v>
      </c>
      <c r="L47" s="2" t="s">
        <v>43</v>
      </c>
      <c r="M47" s="3" t="s">
        <v>182</v>
      </c>
      <c r="N47" s="4" t="s">
        <v>44</v>
      </c>
      <c r="O47" s="4" t="s">
        <v>24</v>
      </c>
      <c r="P47" s="4" t="s">
        <v>24</v>
      </c>
      <c r="Q47" s="4" t="s">
        <v>52</v>
      </c>
      <c r="R47" s="3" t="s">
        <v>53</v>
      </c>
    </row>
    <row r="48" customFormat="false" ht="35.05" hidden="false" customHeight="false" outlineLevel="0" collapsed="false">
      <c r="A48" s="2" t="s">
        <v>250</v>
      </c>
      <c r="B48" s="2" t="s">
        <v>251</v>
      </c>
      <c r="C48" s="2" t="s">
        <v>252</v>
      </c>
      <c r="D48" s="2" t="s">
        <v>253</v>
      </c>
      <c r="E48" s="3" t="s">
        <v>254</v>
      </c>
      <c r="F48" s="3" t="s">
        <v>131</v>
      </c>
      <c r="G48" s="4" t="s">
        <v>24</v>
      </c>
      <c r="H48" s="2" t="s">
        <v>255</v>
      </c>
      <c r="I48" s="2" t="s">
        <v>256</v>
      </c>
      <c r="J48" s="4" t="s">
        <v>27</v>
      </c>
      <c r="K48" s="4" t="s">
        <v>257</v>
      </c>
      <c r="L48" s="2" t="s">
        <v>76</v>
      </c>
      <c r="M48" s="3" t="s">
        <v>258</v>
      </c>
      <c r="N48" s="4" t="s">
        <v>44</v>
      </c>
      <c r="O48" s="4" t="s">
        <v>32</v>
      </c>
      <c r="P48" s="4" t="s">
        <v>24</v>
      </c>
      <c r="Q48" s="4" t="s">
        <v>45</v>
      </c>
      <c r="R48" s="3" t="s">
        <v>82</v>
      </c>
    </row>
    <row r="49" customFormat="false" ht="35.05" hidden="false" customHeight="false" outlineLevel="0" collapsed="false">
      <c r="A49" s="2" t="s">
        <v>259</v>
      </c>
      <c r="B49" s="2" t="s">
        <v>251</v>
      </c>
      <c r="C49" s="2" t="s">
        <v>260</v>
      </c>
      <c r="D49" s="2" t="s">
        <v>21</v>
      </c>
      <c r="E49" s="3" t="s">
        <v>261</v>
      </c>
      <c r="F49" s="3" t="s">
        <v>262</v>
      </c>
      <c r="G49" s="4" t="s">
        <v>24</v>
      </c>
      <c r="H49" s="2" t="s">
        <v>263</v>
      </c>
      <c r="I49" s="2" t="s">
        <v>264</v>
      </c>
      <c r="J49" s="4" t="s">
        <v>27</v>
      </c>
      <c r="K49" s="4" t="s">
        <v>28</v>
      </c>
      <c r="L49" s="2" t="s">
        <v>29</v>
      </c>
      <c r="M49" s="3" t="s">
        <v>258</v>
      </c>
      <c r="N49" s="4" t="s">
        <v>44</v>
      </c>
      <c r="O49" s="4" t="s">
        <v>24</v>
      </c>
      <c r="P49" s="4" t="s">
        <v>24</v>
      </c>
      <c r="Q49" s="4" t="s">
        <v>52</v>
      </c>
      <c r="R49" s="3" t="s">
        <v>53</v>
      </c>
    </row>
    <row r="50" customFormat="false" ht="15" hidden="false" customHeight="false" outlineLevel="0" collapsed="false">
      <c r="A50" s="2" t="s">
        <v>265</v>
      </c>
      <c r="B50" s="2" t="s">
        <v>251</v>
      </c>
      <c r="C50" s="2" t="s">
        <v>266</v>
      </c>
      <c r="D50" s="2" t="s">
        <v>267</v>
      </c>
      <c r="E50" s="3"/>
      <c r="F50" s="3" t="s">
        <v>262</v>
      </c>
      <c r="G50" s="4" t="s">
        <v>24</v>
      </c>
      <c r="H50" s="2" t="s">
        <v>268</v>
      </c>
      <c r="I50" s="2" t="s">
        <v>269</v>
      </c>
      <c r="J50" s="4" t="s">
        <v>27</v>
      </c>
      <c r="K50" s="4" t="s">
        <v>257</v>
      </c>
      <c r="L50" s="2" t="s">
        <v>43</v>
      </c>
      <c r="M50" s="3" t="s">
        <v>258</v>
      </c>
      <c r="N50" s="4" t="s">
        <v>44</v>
      </c>
      <c r="O50" s="4" t="s">
        <v>24</v>
      </c>
      <c r="P50" s="4" t="s">
        <v>32</v>
      </c>
      <c r="Q50" s="4" t="s">
        <v>33</v>
      </c>
      <c r="R50" s="3" t="s">
        <v>270</v>
      </c>
    </row>
    <row r="51" customFormat="false" ht="35.05" hidden="false" customHeight="false" outlineLevel="0" collapsed="false">
      <c r="A51" s="2" t="s">
        <v>271</v>
      </c>
      <c r="B51" s="2" t="s">
        <v>251</v>
      </c>
      <c r="C51" s="2" t="s">
        <v>272</v>
      </c>
      <c r="D51" s="2" t="s">
        <v>273</v>
      </c>
      <c r="E51" s="3" t="s">
        <v>274</v>
      </c>
      <c r="F51" s="3" t="s">
        <v>275</v>
      </c>
      <c r="G51" s="4" t="s">
        <v>24</v>
      </c>
      <c r="H51" s="2" t="s">
        <v>276</v>
      </c>
      <c r="I51" s="2" t="s">
        <v>277</v>
      </c>
      <c r="J51" s="4" t="s">
        <v>27</v>
      </c>
      <c r="K51" s="4" t="s">
        <v>28</v>
      </c>
      <c r="L51" s="2" t="s">
        <v>126</v>
      </c>
      <c r="M51" s="3" t="s">
        <v>258</v>
      </c>
      <c r="N51" s="4" t="s">
        <v>44</v>
      </c>
      <c r="O51" s="4" t="s">
        <v>24</v>
      </c>
      <c r="P51" s="4" t="s">
        <v>24</v>
      </c>
      <c r="Q51" s="4" t="s">
        <v>52</v>
      </c>
      <c r="R51" s="3" t="s">
        <v>53</v>
      </c>
    </row>
    <row r="52" customFormat="false" ht="35.05" hidden="false" customHeight="false" outlineLevel="0" collapsed="false">
      <c r="A52" s="2" t="s">
        <v>278</v>
      </c>
      <c r="B52" s="2" t="s">
        <v>251</v>
      </c>
      <c r="C52" s="2" t="s">
        <v>279</v>
      </c>
      <c r="D52" s="2" t="s">
        <v>280</v>
      </c>
      <c r="E52" s="3" t="s">
        <v>281</v>
      </c>
      <c r="F52" s="3" t="s">
        <v>131</v>
      </c>
      <c r="G52" s="4" t="s">
        <v>24</v>
      </c>
      <c r="H52" s="2" t="s">
        <v>255</v>
      </c>
      <c r="I52" s="2" t="s">
        <v>256</v>
      </c>
      <c r="J52" s="4" t="s">
        <v>27</v>
      </c>
      <c r="K52" s="4" t="s">
        <v>257</v>
      </c>
      <c r="L52" s="2" t="s">
        <v>126</v>
      </c>
      <c r="M52" s="3" t="s">
        <v>258</v>
      </c>
      <c r="N52" s="4" t="s">
        <v>44</v>
      </c>
      <c r="O52" s="4" t="s">
        <v>24</v>
      </c>
      <c r="P52" s="4" t="s">
        <v>24</v>
      </c>
      <c r="Q52" s="4" t="s">
        <v>52</v>
      </c>
      <c r="R52" s="3" t="s">
        <v>53</v>
      </c>
    </row>
    <row r="53" customFormat="false" ht="23.85" hidden="false" customHeight="false" outlineLevel="0" collapsed="false">
      <c r="A53" s="2" t="s">
        <v>282</v>
      </c>
      <c r="B53" s="2" t="s">
        <v>251</v>
      </c>
      <c r="C53" s="2" t="s">
        <v>283</v>
      </c>
      <c r="D53" s="2" t="s">
        <v>129</v>
      </c>
      <c r="E53" s="3" t="s">
        <v>284</v>
      </c>
      <c r="F53" s="3" t="s">
        <v>131</v>
      </c>
      <c r="G53" s="4" t="s">
        <v>24</v>
      </c>
      <c r="H53" s="2" t="s">
        <v>263</v>
      </c>
      <c r="I53" s="2" t="s">
        <v>264</v>
      </c>
      <c r="J53" s="4" t="s">
        <v>27</v>
      </c>
      <c r="K53" s="4"/>
      <c r="L53" s="2" t="s">
        <v>126</v>
      </c>
      <c r="M53" s="3" t="s">
        <v>258</v>
      </c>
      <c r="N53" s="4" t="s">
        <v>44</v>
      </c>
      <c r="O53" s="4" t="s">
        <v>24</v>
      </c>
      <c r="P53" s="4" t="s">
        <v>24</v>
      </c>
      <c r="Q53" s="4" t="s">
        <v>45</v>
      </c>
      <c r="R53" s="3" t="s">
        <v>70</v>
      </c>
    </row>
    <row r="54" customFormat="false" ht="23.85" hidden="false" customHeight="false" outlineLevel="0" collapsed="false">
      <c r="A54" s="2" t="s">
        <v>285</v>
      </c>
      <c r="B54" s="2" t="s">
        <v>251</v>
      </c>
      <c r="C54" s="2" t="s">
        <v>286</v>
      </c>
      <c r="D54" s="2" t="s">
        <v>112</v>
      </c>
      <c r="E54" s="3" t="s">
        <v>287</v>
      </c>
      <c r="F54" s="3" t="s">
        <v>131</v>
      </c>
      <c r="G54" s="4" t="s">
        <v>24</v>
      </c>
      <c r="H54" s="2" t="s">
        <v>268</v>
      </c>
      <c r="I54" s="2" t="s">
        <v>269</v>
      </c>
      <c r="J54" s="4" t="s">
        <v>27</v>
      </c>
      <c r="K54" s="4" t="s">
        <v>257</v>
      </c>
      <c r="L54" s="2" t="s">
        <v>43</v>
      </c>
      <c r="M54" s="3" t="s">
        <v>258</v>
      </c>
      <c r="N54" s="4" t="s">
        <v>44</v>
      </c>
      <c r="O54" s="4" t="s">
        <v>24</v>
      </c>
      <c r="P54" s="4" t="s">
        <v>24</v>
      </c>
      <c r="Q54" s="4" t="s">
        <v>52</v>
      </c>
      <c r="R54" s="3" t="s">
        <v>53</v>
      </c>
    </row>
    <row r="55" customFormat="false" ht="35.05" hidden="false" customHeight="false" outlineLevel="0" collapsed="false">
      <c r="A55" s="2" t="s">
        <v>288</v>
      </c>
      <c r="B55" s="2" t="s">
        <v>251</v>
      </c>
      <c r="C55" s="2" t="s">
        <v>289</v>
      </c>
      <c r="D55" s="2" t="s">
        <v>290</v>
      </c>
      <c r="E55" s="3" t="s">
        <v>291</v>
      </c>
      <c r="F55" s="3"/>
      <c r="G55" s="4" t="s">
        <v>24</v>
      </c>
      <c r="H55" s="2" t="s">
        <v>276</v>
      </c>
      <c r="I55" s="2" t="s">
        <v>277</v>
      </c>
      <c r="J55" s="4" t="s">
        <v>27</v>
      </c>
      <c r="K55" s="4" t="s">
        <v>257</v>
      </c>
      <c r="L55" s="2" t="s">
        <v>29</v>
      </c>
      <c r="M55" s="3" t="s">
        <v>258</v>
      </c>
      <c r="N55" s="4" t="s">
        <v>44</v>
      </c>
      <c r="O55" s="4" t="s">
        <v>24</v>
      </c>
      <c r="P55" s="4" t="s">
        <v>32</v>
      </c>
      <c r="Q55" s="4" t="s">
        <v>33</v>
      </c>
      <c r="R55" s="3" t="s">
        <v>93</v>
      </c>
    </row>
    <row r="56" customFormat="false" ht="35.05" hidden="false" customHeight="false" outlineLevel="0" collapsed="false">
      <c r="A56" s="2" t="s">
        <v>292</v>
      </c>
      <c r="B56" s="2" t="s">
        <v>251</v>
      </c>
      <c r="C56" s="2" t="s">
        <v>293</v>
      </c>
      <c r="D56" s="2" t="s">
        <v>294</v>
      </c>
      <c r="E56" s="3" t="s">
        <v>295</v>
      </c>
      <c r="F56" s="3" t="s">
        <v>262</v>
      </c>
      <c r="G56" s="4" t="s">
        <v>24</v>
      </c>
      <c r="H56" s="2" t="s">
        <v>255</v>
      </c>
      <c r="I56" s="2" t="s">
        <v>256</v>
      </c>
      <c r="J56" s="4" t="s">
        <v>27</v>
      </c>
      <c r="K56" s="4" t="s">
        <v>257</v>
      </c>
      <c r="L56" s="2" t="s">
        <v>126</v>
      </c>
      <c r="M56" s="3"/>
      <c r="N56" s="4" t="s">
        <v>44</v>
      </c>
      <c r="O56" s="4" t="s">
        <v>24</v>
      </c>
      <c r="P56" s="4" t="s">
        <v>24</v>
      </c>
      <c r="Q56" s="4" t="s">
        <v>45</v>
      </c>
      <c r="R56" s="3" t="s">
        <v>157</v>
      </c>
    </row>
    <row r="57" customFormat="false" ht="35.05" hidden="false" customHeight="false" outlineLevel="0" collapsed="false">
      <c r="A57" s="2" t="s">
        <v>296</v>
      </c>
      <c r="B57" s="2" t="s">
        <v>251</v>
      </c>
      <c r="C57" s="2" t="s">
        <v>297</v>
      </c>
      <c r="D57" s="2" t="s">
        <v>85</v>
      </c>
      <c r="E57" s="3" t="s">
        <v>298</v>
      </c>
      <c r="F57" s="3" t="s">
        <v>299</v>
      </c>
      <c r="G57" s="4" t="s">
        <v>24</v>
      </c>
      <c r="H57" s="2" t="s">
        <v>263</v>
      </c>
      <c r="I57" s="2" t="s">
        <v>264</v>
      </c>
      <c r="J57" s="4" t="s">
        <v>27</v>
      </c>
      <c r="K57" s="4" t="s">
        <v>28</v>
      </c>
      <c r="L57" s="2" t="s">
        <v>76</v>
      </c>
      <c r="M57" s="3" t="s">
        <v>258</v>
      </c>
      <c r="N57" s="4" t="s">
        <v>44</v>
      </c>
      <c r="O57" s="4" t="s">
        <v>24</v>
      </c>
      <c r="P57" s="4" t="s">
        <v>24</v>
      </c>
      <c r="Q57" s="4" t="s">
        <v>52</v>
      </c>
      <c r="R57" s="3" t="s">
        <v>53</v>
      </c>
    </row>
    <row r="58" customFormat="false" ht="23.85" hidden="false" customHeight="false" outlineLevel="0" collapsed="false">
      <c r="A58" s="2" t="s">
        <v>300</v>
      </c>
      <c r="B58" s="2" t="s">
        <v>251</v>
      </c>
      <c r="C58" s="2" t="s">
        <v>301</v>
      </c>
      <c r="D58" s="2" t="s">
        <v>302</v>
      </c>
      <c r="E58" s="3" t="s">
        <v>303</v>
      </c>
      <c r="F58" s="3" t="s">
        <v>304</v>
      </c>
      <c r="G58" s="4" t="s">
        <v>24</v>
      </c>
      <c r="H58" s="2"/>
      <c r="I58" s="2" t="s">
        <v>269</v>
      </c>
      <c r="J58" s="4" t="s">
        <v>27</v>
      </c>
      <c r="K58" s="4" t="s">
        <v>257</v>
      </c>
      <c r="L58" s="2" t="s">
        <v>76</v>
      </c>
      <c r="M58" s="3" t="s">
        <v>258</v>
      </c>
      <c r="N58" s="4" t="s">
        <v>44</v>
      </c>
      <c r="O58" s="4" t="s">
        <v>24</v>
      </c>
      <c r="P58" s="4" t="s">
        <v>32</v>
      </c>
      <c r="Q58" s="4" t="s">
        <v>33</v>
      </c>
      <c r="R58" s="3" t="s">
        <v>305</v>
      </c>
    </row>
    <row r="59" customFormat="false" ht="23.85" hidden="false" customHeight="false" outlineLevel="0" collapsed="false">
      <c r="A59" s="2" t="s">
        <v>306</v>
      </c>
      <c r="B59" s="2" t="s">
        <v>251</v>
      </c>
      <c r="C59" s="2" t="s">
        <v>307</v>
      </c>
      <c r="D59" s="2" t="s">
        <v>120</v>
      </c>
      <c r="E59" s="3" t="s">
        <v>308</v>
      </c>
      <c r="F59" s="3" t="s">
        <v>131</v>
      </c>
      <c r="G59" s="4" t="s">
        <v>24</v>
      </c>
      <c r="H59" s="2" t="s">
        <v>276</v>
      </c>
      <c r="I59" s="2" t="s">
        <v>277</v>
      </c>
      <c r="J59" s="4" t="s">
        <v>27</v>
      </c>
      <c r="K59" s="4" t="s">
        <v>257</v>
      </c>
      <c r="L59" s="2" t="s">
        <v>29</v>
      </c>
      <c r="M59" s="3" t="s">
        <v>258</v>
      </c>
      <c r="N59" s="4" t="s">
        <v>44</v>
      </c>
      <c r="O59" s="4" t="s">
        <v>24</v>
      </c>
      <c r="P59" s="4" t="s">
        <v>24</v>
      </c>
      <c r="Q59" s="4" t="s">
        <v>52</v>
      </c>
      <c r="R59" s="3" t="s">
        <v>53</v>
      </c>
    </row>
    <row r="60" customFormat="false" ht="35.05" hidden="false" customHeight="false" outlineLevel="0" collapsed="false">
      <c r="A60" s="2" t="s">
        <v>309</v>
      </c>
      <c r="B60" s="2" t="s">
        <v>251</v>
      </c>
      <c r="C60" s="2" t="s">
        <v>310</v>
      </c>
      <c r="D60" s="2" t="s">
        <v>49</v>
      </c>
      <c r="E60" s="3" t="s">
        <v>311</v>
      </c>
      <c r="F60" s="3" t="s">
        <v>131</v>
      </c>
      <c r="G60" s="4" t="s">
        <v>24</v>
      </c>
      <c r="H60" s="2" t="s">
        <v>255</v>
      </c>
      <c r="I60" s="2" t="s">
        <v>256</v>
      </c>
      <c r="J60" s="4" t="s">
        <v>27</v>
      </c>
      <c r="K60" s="4" t="s">
        <v>28</v>
      </c>
      <c r="L60" s="2" t="s">
        <v>126</v>
      </c>
      <c r="M60" s="3" t="s">
        <v>258</v>
      </c>
      <c r="N60" s="4" t="s">
        <v>44</v>
      </c>
      <c r="O60" s="4" t="s">
        <v>24</v>
      </c>
      <c r="P60" s="4" t="s">
        <v>24</v>
      </c>
      <c r="Q60" s="4" t="s">
        <v>52</v>
      </c>
      <c r="R60" s="3" t="s">
        <v>53</v>
      </c>
    </row>
    <row r="61" customFormat="false" ht="35.05" hidden="false" customHeight="false" outlineLevel="0" collapsed="false">
      <c r="A61" s="2" t="s">
        <v>312</v>
      </c>
      <c r="B61" s="2" t="s">
        <v>251</v>
      </c>
      <c r="C61" s="2" t="s">
        <v>313</v>
      </c>
      <c r="D61" s="2" t="s">
        <v>314</v>
      </c>
      <c r="E61" s="3" t="s">
        <v>315</v>
      </c>
      <c r="F61" s="3" t="s">
        <v>262</v>
      </c>
      <c r="G61" s="4" t="s">
        <v>24</v>
      </c>
      <c r="H61" s="2"/>
      <c r="I61" s="2" t="s">
        <v>264</v>
      </c>
      <c r="J61" s="4" t="s">
        <v>27</v>
      </c>
      <c r="K61" s="4" t="s">
        <v>28</v>
      </c>
      <c r="L61" s="2" t="s">
        <v>29</v>
      </c>
      <c r="M61" s="3" t="s">
        <v>258</v>
      </c>
      <c r="N61" s="4" t="s">
        <v>44</v>
      </c>
      <c r="O61" s="4" t="s">
        <v>24</v>
      </c>
      <c r="P61" s="4" t="s">
        <v>32</v>
      </c>
      <c r="Q61" s="4" t="s">
        <v>33</v>
      </c>
      <c r="R61" s="3" t="s">
        <v>305</v>
      </c>
    </row>
    <row r="62" customFormat="false" ht="23.85" hidden="false" customHeight="false" outlineLevel="0" collapsed="false">
      <c r="A62" s="2" t="s">
        <v>316</v>
      </c>
      <c r="B62" s="2" t="s">
        <v>251</v>
      </c>
      <c r="C62" s="2" t="s">
        <v>317</v>
      </c>
      <c r="D62" s="2" t="s">
        <v>318</v>
      </c>
      <c r="E62" s="3" t="s">
        <v>319</v>
      </c>
      <c r="F62" s="3" t="s">
        <v>320</v>
      </c>
      <c r="G62" s="4" t="s">
        <v>24</v>
      </c>
      <c r="H62" s="2" t="s">
        <v>268</v>
      </c>
      <c r="I62" s="2" t="s">
        <v>269</v>
      </c>
      <c r="J62" s="4" t="s">
        <v>27</v>
      </c>
      <c r="K62" s="4" t="s">
        <v>28</v>
      </c>
      <c r="L62" s="2" t="s">
        <v>29</v>
      </c>
      <c r="M62" s="3" t="s">
        <v>258</v>
      </c>
      <c r="N62" s="4" t="s">
        <v>44</v>
      </c>
      <c r="O62" s="4" t="s">
        <v>24</v>
      </c>
      <c r="P62" s="4" t="s">
        <v>24</v>
      </c>
      <c r="Q62" s="4" t="s">
        <v>52</v>
      </c>
      <c r="R62" s="3" t="s">
        <v>53</v>
      </c>
    </row>
    <row r="63" customFormat="false" ht="15" hidden="false" customHeight="false" outlineLevel="0" collapsed="false">
      <c r="A63" s="2" t="s">
        <v>321</v>
      </c>
      <c r="B63" s="2" t="s">
        <v>251</v>
      </c>
      <c r="C63" s="2" t="s">
        <v>322</v>
      </c>
      <c r="D63" s="2" t="s">
        <v>323</v>
      </c>
      <c r="E63" s="3"/>
      <c r="F63" s="3" t="s">
        <v>131</v>
      </c>
      <c r="G63" s="4" t="s">
        <v>24</v>
      </c>
      <c r="H63" s="2" t="s">
        <v>276</v>
      </c>
      <c r="I63" s="2" t="s">
        <v>277</v>
      </c>
      <c r="J63" s="4" t="s">
        <v>27</v>
      </c>
      <c r="K63" s="4" t="s">
        <v>257</v>
      </c>
      <c r="L63" s="2" t="s">
        <v>29</v>
      </c>
      <c r="M63" s="3" t="s">
        <v>258</v>
      </c>
      <c r="N63" s="4" t="s">
        <v>44</v>
      </c>
      <c r="O63" s="4" t="s">
        <v>24</v>
      </c>
      <c r="P63" s="4" t="s">
        <v>32</v>
      </c>
      <c r="Q63" s="4" t="s">
        <v>33</v>
      </c>
      <c r="R63" s="3" t="s">
        <v>270</v>
      </c>
    </row>
    <row r="64" customFormat="false" ht="35.05" hidden="false" customHeight="false" outlineLevel="0" collapsed="false">
      <c r="A64" s="2" t="s">
        <v>324</v>
      </c>
      <c r="B64" s="2" t="s">
        <v>325</v>
      </c>
      <c r="C64" s="2" t="s">
        <v>326</v>
      </c>
      <c r="D64" s="2" t="s">
        <v>327</v>
      </c>
      <c r="E64" s="3" t="s">
        <v>328</v>
      </c>
      <c r="F64" s="3" t="s">
        <v>131</v>
      </c>
      <c r="G64" s="4" t="s">
        <v>24</v>
      </c>
      <c r="H64" s="2" t="s">
        <v>329</v>
      </c>
      <c r="I64" s="2" t="s">
        <v>330</v>
      </c>
      <c r="J64" s="4" t="s">
        <v>27</v>
      </c>
      <c r="K64" s="4" t="s">
        <v>257</v>
      </c>
      <c r="L64" s="2" t="s">
        <v>29</v>
      </c>
      <c r="M64" s="3" t="s">
        <v>331</v>
      </c>
      <c r="N64" s="4" t="s">
        <v>44</v>
      </c>
      <c r="O64" s="4" t="s">
        <v>24</v>
      </c>
      <c r="P64" s="4" t="s">
        <v>24</v>
      </c>
      <c r="Q64" s="4" t="s">
        <v>52</v>
      </c>
      <c r="R64" s="3" t="s">
        <v>53</v>
      </c>
    </row>
    <row r="65" customFormat="false" ht="46.25" hidden="false" customHeight="false" outlineLevel="0" collapsed="false">
      <c r="A65" s="2" t="s">
        <v>332</v>
      </c>
      <c r="B65" s="2" t="s">
        <v>325</v>
      </c>
      <c r="C65" s="2" t="s">
        <v>333</v>
      </c>
      <c r="D65" s="2" t="s">
        <v>49</v>
      </c>
      <c r="E65" s="3" t="s">
        <v>334</v>
      </c>
      <c r="F65" s="3" t="s">
        <v>131</v>
      </c>
      <c r="G65" s="4" t="s">
        <v>24</v>
      </c>
      <c r="H65" s="2" t="s">
        <v>329</v>
      </c>
      <c r="I65" s="2" t="s">
        <v>330</v>
      </c>
      <c r="J65" s="4"/>
      <c r="K65" s="4" t="s">
        <v>257</v>
      </c>
      <c r="L65" s="2"/>
      <c r="M65" s="3" t="s">
        <v>331</v>
      </c>
      <c r="N65" s="4" t="s">
        <v>44</v>
      </c>
      <c r="O65" s="4" t="s">
        <v>24</v>
      </c>
      <c r="P65" s="4" t="s">
        <v>32</v>
      </c>
      <c r="Q65" s="4" t="s">
        <v>33</v>
      </c>
      <c r="R65" s="3" t="s">
        <v>167</v>
      </c>
    </row>
    <row r="66" customFormat="false" ht="46.25" hidden="false" customHeight="false" outlineLevel="0" collapsed="false">
      <c r="A66" s="2" t="s">
        <v>335</v>
      </c>
      <c r="B66" s="2" t="s">
        <v>325</v>
      </c>
      <c r="C66" s="2" t="s">
        <v>170</v>
      </c>
      <c r="D66" s="2" t="s">
        <v>336</v>
      </c>
      <c r="E66" s="3" t="s">
        <v>337</v>
      </c>
      <c r="F66" s="3" t="s">
        <v>131</v>
      </c>
      <c r="G66" s="4" t="s">
        <v>24</v>
      </c>
      <c r="H66" s="2" t="s">
        <v>263</v>
      </c>
      <c r="I66" s="2" t="s">
        <v>338</v>
      </c>
      <c r="J66" s="4" t="s">
        <v>88</v>
      </c>
      <c r="K66" s="4" t="s">
        <v>257</v>
      </c>
      <c r="L66" s="2" t="s">
        <v>29</v>
      </c>
      <c r="M66" s="3" t="s">
        <v>331</v>
      </c>
      <c r="N66" s="4" t="s">
        <v>44</v>
      </c>
      <c r="O66" s="4" t="s">
        <v>24</v>
      </c>
      <c r="P66" s="4" t="s">
        <v>24</v>
      </c>
      <c r="Q66" s="4" t="s">
        <v>52</v>
      </c>
      <c r="R66" s="3" t="s">
        <v>53</v>
      </c>
    </row>
    <row r="67" customFormat="false" ht="46.25" hidden="false" customHeight="false" outlineLevel="0" collapsed="false">
      <c r="A67" s="2" t="s">
        <v>339</v>
      </c>
      <c r="B67" s="2" t="s">
        <v>325</v>
      </c>
      <c r="C67" s="2" t="s">
        <v>340</v>
      </c>
      <c r="D67" s="2" t="s">
        <v>116</v>
      </c>
      <c r="E67" s="3" t="s">
        <v>341</v>
      </c>
      <c r="F67" s="3" t="s">
        <v>131</v>
      </c>
      <c r="G67" s="4" t="s">
        <v>24</v>
      </c>
      <c r="H67" s="2" t="s">
        <v>329</v>
      </c>
      <c r="I67" s="2" t="s">
        <v>330</v>
      </c>
      <c r="J67" s="4" t="s">
        <v>88</v>
      </c>
      <c r="K67" s="4" t="s">
        <v>28</v>
      </c>
      <c r="L67" s="2" t="s">
        <v>43</v>
      </c>
      <c r="M67" s="3" t="s">
        <v>331</v>
      </c>
      <c r="N67" s="4" t="s">
        <v>44</v>
      </c>
      <c r="O67" s="4" t="s">
        <v>24</v>
      </c>
      <c r="P67" s="4" t="s">
        <v>24</v>
      </c>
      <c r="Q67" s="4" t="s">
        <v>52</v>
      </c>
      <c r="R67" s="3" t="s">
        <v>53</v>
      </c>
    </row>
    <row r="68" customFormat="false" ht="46.25" hidden="false" customHeight="false" outlineLevel="0" collapsed="false">
      <c r="A68" s="2" t="s">
        <v>342</v>
      </c>
      <c r="B68" s="2" t="s">
        <v>325</v>
      </c>
      <c r="C68" s="2" t="s">
        <v>343</v>
      </c>
      <c r="D68" s="2" t="s">
        <v>21</v>
      </c>
      <c r="E68" s="3" t="s">
        <v>344</v>
      </c>
      <c r="F68" s="3" t="s">
        <v>262</v>
      </c>
      <c r="G68" s="4" t="s">
        <v>24</v>
      </c>
      <c r="H68" s="2" t="s">
        <v>345</v>
      </c>
      <c r="I68" s="2" t="s">
        <v>346</v>
      </c>
      <c r="J68" s="4" t="s">
        <v>27</v>
      </c>
      <c r="K68" s="4" t="s">
        <v>28</v>
      </c>
      <c r="L68" s="2" t="s">
        <v>29</v>
      </c>
      <c r="M68" s="3" t="s">
        <v>331</v>
      </c>
      <c r="N68" s="4" t="s">
        <v>44</v>
      </c>
      <c r="O68" s="4" t="s">
        <v>24</v>
      </c>
      <c r="P68" s="4" t="s">
        <v>24</v>
      </c>
      <c r="Q68" s="4" t="s">
        <v>45</v>
      </c>
      <c r="R68" s="3" t="s">
        <v>46</v>
      </c>
    </row>
    <row r="69" customFormat="false" ht="46.25" hidden="false" customHeight="false" outlineLevel="0" collapsed="false">
      <c r="A69" s="2" t="s">
        <v>347</v>
      </c>
      <c r="B69" s="2" t="s">
        <v>325</v>
      </c>
      <c r="C69" s="2" t="s">
        <v>348</v>
      </c>
      <c r="D69" s="2" t="s">
        <v>63</v>
      </c>
      <c r="E69" s="3" t="s">
        <v>349</v>
      </c>
      <c r="F69" s="3" t="s">
        <v>131</v>
      </c>
      <c r="G69" s="4" t="s">
        <v>24</v>
      </c>
      <c r="H69" s="2" t="s">
        <v>329</v>
      </c>
      <c r="I69" s="2" t="s">
        <v>330</v>
      </c>
      <c r="J69" s="4" t="s">
        <v>27</v>
      </c>
      <c r="K69" s="4" t="s">
        <v>28</v>
      </c>
      <c r="L69" s="2" t="s">
        <v>29</v>
      </c>
      <c r="M69" s="3" t="s">
        <v>331</v>
      </c>
      <c r="N69" s="4" t="s">
        <v>44</v>
      </c>
      <c r="O69" s="4" t="s">
        <v>24</v>
      </c>
      <c r="P69" s="4" t="s">
        <v>24</v>
      </c>
      <c r="Q69" s="4" t="s">
        <v>52</v>
      </c>
      <c r="R69" s="3" t="s">
        <v>53</v>
      </c>
    </row>
    <row r="70" customFormat="false" ht="15" hidden="false" customHeight="false" outlineLevel="0" collapsed="false">
      <c r="A70" s="2" t="s">
        <v>350</v>
      </c>
      <c r="B70" s="2" t="s">
        <v>325</v>
      </c>
      <c r="C70" s="2" t="s">
        <v>351</v>
      </c>
      <c r="D70" s="2" t="s">
        <v>112</v>
      </c>
      <c r="E70" s="3"/>
      <c r="F70" s="3" t="s">
        <v>131</v>
      </c>
      <c r="G70" s="4" t="s">
        <v>24</v>
      </c>
      <c r="H70" s="2" t="s">
        <v>329</v>
      </c>
      <c r="I70" s="2" t="s">
        <v>330</v>
      </c>
      <c r="J70" s="4" t="s">
        <v>27</v>
      </c>
      <c r="K70" s="4" t="s">
        <v>28</v>
      </c>
      <c r="L70" s="2" t="s">
        <v>76</v>
      </c>
      <c r="M70" s="3" t="s">
        <v>331</v>
      </c>
      <c r="N70" s="4" t="s">
        <v>44</v>
      </c>
      <c r="O70" s="4" t="s">
        <v>24</v>
      </c>
      <c r="P70" s="4" t="s">
        <v>32</v>
      </c>
      <c r="Q70" s="4" t="s">
        <v>33</v>
      </c>
      <c r="R70" s="3" t="s">
        <v>270</v>
      </c>
    </row>
    <row r="71" customFormat="false" ht="46.25" hidden="false" customHeight="false" outlineLevel="0" collapsed="false">
      <c r="A71" s="2" t="s">
        <v>352</v>
      </c>
      <c r="B71" s="2" t="s">
        <v>325</v>
      </c>
      <c r="C71" s="2" t="s">
        <v>353</v>
      </c>
      <c r="D71" s="2" t="s">
        <v>354</v>
      </c>
      <c r="E71" s="3" t="s">
        <v>355</v>
      </c>
      <c r="F71" s="3" t="s">
        <v>131</v>
      </c>
      <c r="G71" s="4" t="s">
        <v>24</v>
      </c>
      <c r="H71" s="2" t="s">
        <v>263</v>
      </c>
      <c r="I71" s="2" t="s">
        <v>338</v>
      </c>
      <c r="J71" s="4" t="s">
        <v>27</v>
      </c>
      <c r="K71" s="4" t="s">
        <v>28</v>
      </c>
      <c r="L71" s="2" t="s">
        <v>29</v>
      </c>
      <c r="M71" s="3" t="s">
        <v>331</v>
      </c>
      <c r="N71" s="4" t="s">
        <v>44</v>
      </c>
      <c r="O71" s="4" t="s">
        <v>24</v>
      </c>
      <c r="P71" s="4" t="s">
        <v>24</v>
      </c>
      <c r="Q71" s="4" t="s">
        <v>52</v>
      </c>
      <c r="R71" s="3" t="s">
        <v>53</v>
      </c>
    </row>
    <row r="72" customFormat="false" ht="46.25" hidden="false" customHeight="false" outlineLevel="0" collapsed="false">
      <c r="A72" s="2" t="s">
        <v>356</v>
      </c>
      <c r="B72" s="2" t="s">
        <v>325</v>
      </c>
      <c r="C72" s="2" t="s">
        <v>357</v>
      </c>
      <c r="D72" s="2" t="s">
        <v>248</v>
      </c>
      <c r="E72" s="3" t="s">
        <v>358</v>
      </c>
      <c r="F72" s="3" t="s">
        <v>131</v>
      </c>
      <c r="G72" s="4" t="s">
        <v>24</v>
      </c>
      <c r="H72" s="2" t="s">
        <v>329</v>
      </c>
      <c r="I72" s="2" t="s">
        <v>330</v>
      </c>
      <c r="J72" s="4" t="s">
        <v>27</v>
      </c>
      <c r="K72" s="4" t="s">
        <v>257</v>
      </c>
      <c r="L72" s="2" t="s">
        <v>359</v>
      </c>
      <c r="M72" s="3" t="s">
        <v>331</v>
      </c>
      <c r="N72" s="4" t="s">
        <v>44</v>
      </c>
      <c r="O72" s="4" t="s">
        <v>32</v>
      </c>
      <c r="P72" s="4" t="s">
        <v>24</v>
      </c>
      <c r="Q72" s="4" t="s">
        <v>45</v>
      </c>
      <c r="R72" s="3" t="s">
        <v>82</v>
      </c>
    </row>
    <row r="73" customFormat="false" ht="46.25" hidden="false" customHeight="false" outlineLevel="0" collapsed="false">
      <c r="A73" s="2" t="s">
        <v>360</v>
      </c>
      <c r="B73" s="2" t="s">
        <v>325</v>
      </c>
      <c r="C73" s="2" t="s">
        <v>361</v>
      </c>
      <c r="D73" s="2" t="s">
        <v>67</v>
      </c>
      <c r="E73" s="3" t="s">
        <v>362</v>
      </c>
      <c r="F73" s="3" t="s">
        <v>262</v>
      </c>
      <c r="G73" s="4" t="s">
        <v>24</v>
      </c>
      <c r="H73" s="2" t="s">
        <v>345</v>
      </c>
      <c r="I73" s="2" t="s">
        <v>363</v>
      </c>
      <c r="J73" s="4" t="s">
        <v>27</v>
      </c>
      <c r="K73" s="4" t="s">
        <v>257</v>
      </c>
      <c r="L73" s="2" t="s">
        <v>43</v>
      </c>
      <c r="M73" s="3" t="s">
        <v>331</v>
      </c>
      <c r="N73" s="4" t="s">
        <v>44</v>
      </c>
      <c r="O73" s="4" t="s">
        <v>32</v>
      </c>
      <c r="P73" s="4" t="s">
        <v>24</v>
      </c>
      <c r="Q73" s="4" t="s">
        <v>45</v>
      </c>
      <c r="R73" s="3" t="s">
        <v>82</v>
      </c>
    </row>
    <row r="74" customFormat="false" ht="15" hidden="false" customHeight="false" outlineLevel="0" collapsed="false">
      <c r="A74" s="2" t="s">
        <v>364</v>
      </c>
      <c r="B74" s="2" t="s">
        <v>325</v>
      </c>
      <c r="C74" s="2" t="s">
        <v>365</v>
      </c>
      <c r="D74" s="2" t="s">
        <v>366</v>
      </c>
      <c r="E74" s="3"/>
      <c r="F74" s="3" t="s">
        <v>131</v>
      </c>
      <c r="G74" s="4" t="s">
        <v>24</v>
      </c>
      <c r="H74" s="2" t="s">
        <v>329</v>
      </c>
      <c r="I74" s="2" t="s">
        <v>330</v>
      </c>
      <c r="J74" s="4" t="s">
        <v>27</v>
      </c>
      <c r="K74" s="4" t="s">
        <v>257</v>
      </c>
      <c r="L74" s="2" t="s">
        <v>29</v>
      </c>
      <c r="M74" s="3" t="s">
        <v>331</v>
      </c>
      <c r="N74" s="4" t="s">
        <v>44</v>
      </c>
      <c r="O74" s="4" t="s">
        <v>24</v>
      </c>
      <c r="P74" s="4" t="s">
        <v>32</v>
      </c>
      <c r="Q74" s="4" t="s">
        <v>33</v>
      </c>
      <c r="R74" s="3" t="s">
        <v>270</v>
      </c>
    </row>
    <row r="75" customFormat="false" ht="35.05" hidden="false" customHeight="false" outlineLevel="0" collapsed="false">
      <c r="A75" s="2" t="s">
        <v>367</v>
      </c>
      <c r="B75" s="2" t="s">
        <v>325</v>
      </c>
      <c r="C75" s="2" t="s">
        <v>368</v>
      </c>
      <c r="D75" s="2" t="s">
        <v>369</v>
      </c>
      <c r="E75" s="3" t="s">
        <v>370</v>
      </c>
      <c r="F75" s="3" t="s">
        <v>131</v>
      </c>
      <c r="G75" s="4" t="s">
        <v>24</v>
      </c>
      <c r="H75" s="2" t="s">
        <v>329</v>
      </c>
      <c r="I75" s="2" t="s">
        <v>330</v>
      </c>
      <c r="J75" s="4" t="s">
        <v>27</v>
      </c>
      <c r="K75" s="4" t="s">
        <v>257</v>
      </c>
      <c r="L75" s="2" t="s">
        <v>29</v>
      </c>
      <c r="M75" s="3" t="s">
        <v>331</v>
      </c>
      <c r="N75" s="4" t="s">
        <v>44</v>
      </c>
      <c r="O75" s="4" t="s">
        <v>24</v>
      </c>
      <c r="P75" s="4" t="s">
        <v>24</v>
      </c>
      <c r="Q75" s="4" t="s">
        <v>52</v>
      </c>
      <c r="R75" s="3" t="s">
        <v>53</v>
      </c>
    </row>
    <row r="76" customFormat="false" ht="35.05" hidden="false" customHeight="false" outlineLevel="0" collapsed="false">
      <c r="A76" s="2" t="s">
        <v>371</v>
      </c>
      <c r="B76" s="2" t="s">
        <v>372</v>
      </c>
      <c r="C76" s="2" t="s">
        <v>373</v>
      </c>
      <c r="D76" s="2" t="s">
        <v>143</v>
      </c>
      <c r="E76" s="3" t="s">
        <v>374</v>
      </c>
      <c r="F76" s="3" t="s">
        <v>262</v>
      </c>
      <c r="G76" s="4" t="s">
        <v>24</v>
      </c>
      <c r="H76" s="2" t="s">
        <v>375</v>
      </c>
      <c r="I76" s="2" t="s">
        <v>376</v>
      </c>
      <c r="J76" s="4" t="s">
        <v>27</v>
      </c>
      <c r="K76" s="4" t="s">
        <v>60</v>
      </c>
      <c r="L76" s="2" t="s">
        <v>76</v>
      </c>
      <c r="M76" s="3" t="s">
        <v>377</v>
      </c>
      <c r="N76" s="4" t="s">
        <v>44</v>
      </c>
      <c r="O76" s="4" t="s">
        <v>24</v>
      </c>
      <c r="P76" s="4" t="s">
        <v>24</v>
      </c>
      <c r="Q76" s="4" t="s">
        <v>45</v>
      </c>
      <c r="R76" s="3" t="s">
        <v>46</v>
      </c>
    </row>
    <row r="77" customFormat="false" ht="35.05" hidden="false" customHeight="false" outlineLevel="0" collapsed="false">
      <c r="A77" s="2" t="s">
        <v>378</v>
      </c>
      <c r="B77" s="2" t="s">
        <v>372</v>
      </c>
      <c r="C77" s="2" t="s">
        <v>379</v>
      </c>
      <c r="D77" s="2" t="s">
        <v>37</v>
      </c>
      <c r="E77" s="3" t="s">
        <v>380</v>
      </c>
      <c r="F77" s="3" t="s">
        <v>23</v>
      </c>
      <c r="G77" s="4" t="s">
        <v>24</v>
      </c>
      <c r="H77" s="2" t="s">
        <v>381</v>
      </c>
      <c r="I77" s="2" t="s">
        <v>382</v>
      </c>
      <c r="J77" s="4" t="s">
        <v>27</v>
      </c>
      <c r="K77" s="4" t="s">
        <v>60</v>
      </c>
      <c r="L77" s="2" t="s">
        <v>29</v>
      </c>
      <c r="M77" s="3" t="s">
        <v>377</v>
      </c>
      <c r="N77" s="4" t="s">
        <v>44</v>
      </c>
      <c r="O77" s="4" t="s">
        <v>24</v>
      </c>
      <c r="P77" s="4" t="s">
        <v>24</v>
      </c>
      <c r="Q77" s="4" t="s">
        <v>52</v>
      </c>
      <c r="R77" s="3" t="s">
        <v>53</v>
      </c>
    </row>
    <row r="78" customFormat="false" ht="35.05" hidden="false" customHeight="false" outlineLevel="0" collapsed="false">
      <c r="A78" s="2" t="s">
        <v>383</v>
      </c>
      <c r="B78" s="2" t="s">
        <v>372</v>
      </c>
      <c r="C78" s="2" t="s">
        <v>384</v>
      </c>
      <c r="D78" s="2" t="s">
        <v>49</v>
      </c>
      <c r="E78" s="3" t="s">
        <v>385</v>
      </c>
      <c r="F78" s="3" t="s">
        <v>23</v>
      </c>
      <c r="G78" s="4" t="s">
        <v>24</v>
      </c>
      <c r="H78" s="2" t="s">
        <v>381</v>
      </c>
      <c r="I78" s="2" t="s">
        <v>382</v>
      </c>
      <c r="J78" s="4" t="s">
        <v>27</v>
      </c>
      <c r="K78" s="4" t="s">
        <v>28</v>
      </c>
      <c r="L78" s="2" t="s">
        <v>29</v>
      </c>
      <c r="M78" s="3" t="s">
        <v>377</v>
      </c>
      <c r="N78" s="4" t="s">
        <v>31</v>
      </c>
      <c r="O78" s="4" t="s">
        <v>24</v>
      </c>
      <c r="P78" s="4" t="s">
        <v>32</v>
      </c>
      <c r="Q78" s="4" t="s">
        <v>33</v>
      </c>
      <c r="R78" s="3" t="s">
        <v>34</v>
      </c>
    </row>
    <row r="79" customFormat="false" ht="23.85" hidden="false" customHeight="false" outlineLevel="0" collapsed="false">
      <c r="A79" s="2" t="s">
        <v>386</v>
      </c>
      <c r="B79" s="2" t="s">
        <v>372</v>
      </c>
      <c r="C79" s="2" t="s">
        <v>387</v>
      </c>
      <c r="D79" s="2" t="s">
        <v>129</v>
      </c>
      <c r="E79" s="3" t="s">
        <v>388</v>
      </c>
      <c r="F79" s="3" t="s">
        <v>131</v>
      </c>
      <c r="G79" s="4" t="s">
        <v>24</v>
      </c>
      <c r="H79" s="2" t="s">
        <v>375</v>
      </c>
      <c r="I79" s="2" t="s">
        <v>389</v>
      </c>
      <c r="J79" s="4" t="s">
        <v>27</v>
      </c>
      <c r="K79" s="4" t="s">
        <v>60</v>
      </c>
      <c r="L79" s="2" t="s">
        <v>29</v>
      </c>
      <c r="M79" s="3" t="s">
        <v>377</v>
      </c>
      <c r="N79" s="4" t="s">
        <v>44</v>
      </c>
      <c r="O79" s="4" t="s">
        <v>24</v>
      </c>
      <c r="P79" s="4" t="s">
        <v>24</v>
      </c>
      <c r="Q79" s="4" t="s">
        <v>52</v>
      </c>
      <c r="R79" s="3" t="s">
        <v>53</v>
      </c>
    </row>
    <row r="80" customFormat="false" ht="23.85" hidden="false" customHeight="false" outlineLevel="0" collapsed="false">
      <c r="A80" s="2" t="s">
        <v>390</v>
      </c>
      <c r="B80" s="2" t="s">
        <v>372</v>
      </c>
      <c r="C80" s="2" t="s">
        <v>391</v>
      </c>
      <c r="D80" s="2" t="s">
        <v>392</v>
      </c>
      <c r="E80" s="3" t="s">
        <v>393</v>
      </c>
      <c r="F80" s="3" t="s">
        <v>23</v>
      </c>
      <c r="G80" s="4" t="s">
        <v>24</v>
      </c>
      <c r="H80" s="2" t="s">
        <v>375</v>
      </c>
      <c r="I80" s="2" t="s">
        <v>389</v>
      </c>
      <c r="J80" s="4"/>
      <c r="K80" s="4" t="s">
        <v>28</v>
      </c>
      <c r="L80" s="2"/>
      <c r="M80" s="3" t="s">
        <v>377</v>
      </c>
      <c r="N80" s="4" t="s">
        <v>44</v>
      </c>
      <c r="O80" s="4" t="s">
        <v>24</v>
      </c>
      <c r="P80" s="4" t="s">
        <v>32</v>
      </c>
      <c r="Q80" s="4" t="s">
        <v>33</v>
      </c>
      <c r="R80" s="3" t="s">
        <v>167</v>
      </c>
    </row>
    <row r="81" customFormat="false" ht="15" hidden="false" customHeight="false" outlineLevel="0" collapsed="false">
      <c r="A81" s="2" t="s">
        <v>394</v>
      </c>
      <c r="B81" s="2" t="s">
        <v>372</v>
      </c>
      <c r="C81" s="2" t="s">
        <v>395</v>
      </c>
      <c r="D81" s="2" t="s">
        <v>396</v>
      </c>
      <c r="E81" s="3" t="s">
        <v>397</v>
      </c>
      <c r="F81" s="3" t="s">
        <v>39</v>
      </c>
      <c r="G81" s="4" t="s">
        <v>31</v>
      </c>
      <c r="H81" s="2" t="s">
        <v>375</v>
      </c>
      <c r="I81" s="2" t="s">
        <v>389</v>
      </c>
      <c r="J81" s="4" t="s">
        <v>27</v>
      </c>
      <c r="K81" s="4" t="s">
        <v>257</v>
      </c>
      <c r="L81" s="2" t="s">
        <v>29</v>
      </c>
      <c r="M81" s="3" t="s">
        <v>377</v>
      </c>
      <c r="N81" s="4" t="s">
        <v>44</v>
      </c>
      <c r="O81" s="4" t="s">
        <v>24</v>
      </c>
      <c r="P81" s="4" t="s">
        <v>32</v>
      </c>
      <c r="Q81" s="4" t="s">
        <v>33</v>
      </c>
      <c r="R81" s="3" t="s">
        <v>109</v>
      </c>
    </row>
    <row r="82" customFormat="false" ht="23.85" hidden="false" customHeight="false" outlineLevel="0" collapsed="false">
      <c r="A82" s="2" t="s">
        <v>398</v>
      </c>
      <c r="B82" s="2" t="s">
        <v>372</v>
      </c>
      <c r="C82" s="2" t="s">
        <v>399</v>
      </c>
      <c r="D82" s="2" t="s">
        <v>369</v>
      </c>
      <c r="E82" s="3" t="s">
        <v>400</v>
      </c>
      <c r="F82" s="3" t="s">
        <v>131</v>
      </c>
      <c r="G82" s="4" t="s">
        <v>24</v>
      </c>
      <c r="H82" s="2" t="s">
        <v>375</v>
      </c>
      <c r="I82" s="2" t="s">
        <v>389</v>
      </c>
      <c r="J82" s="4" t="s">
        <v>27</v>
      </c>
      <c r="K82" s="4" t="s">
        <v>60</v>
      </c>
      <c r="L82" s="2" t="s">
        <v>43</v>
      </c>
      <c r="M82" s="3" t="s">
        <v>377</v>
      </c>
      <c r="N82" s="4" t="s">
        <v>44</v>
      </c>
      <c r="O82" s="4" t="s">
        <v>24</v>
      </c>
      <c r="P82" s="4" t="s">
        <v>24</v>
      </c>
      <c r="Q82" s="4" t="s">
        <v>52</v>
      </c>
      <c r="R82" s="3" t="s">
        <v>53</v>
      </c>
    </row>
    <row r="83" customFormat="false" ht="23.85" hidden="false" customHeight="false" outlineLevel="0" collapsed="false">
      <c r="A83" s="2" t="s">
        <v>401</v>
      </c>
      <c r="B83" s="2" t="s">
        <v>372</v>
      </c>
      <c r="C83" s="2" t="s">
        <v>402</v>
      </c>
      <c r="D83" s="2" t="s">
        <v>403</v>
      </c>
      <c r="E83" s="3" t="s">
        <v>404</v>
      </c>
      <c r="F83" s="3" t="s">
        <v>166</v>
      </c>
      <c r="G83" s="4" t="s">
        <v>24</v>
      </c>
      <c r="H83" s="2" t="s">
        <v>375</v>
      </c>
      <c r="I83" s="2" t="s">
        <v>389</v>
      </c>
      <c r="J83" s="4" t="s">
        <v>27</v>
      </c>
      <c r="K83" s="4" t="s">
        <v>28</v>
      </c>
      <c r="L83" s="2" t="s">
        <v>29</v>
      </c>
      <c r="M83" s="3" t="s">
        <v>377</v>
      </c>
      <c r="N83" s="4" t="s">
        <v>44</v>
      </c>
      <c r="O83" s="4" t="s">
        <v>24</v>
      </c>
      <c r="P83" s="4" t="s">
        <v>24</v>
      </c>
      <c r="Q83" s="4" t="s">
        <v>52</v>
      </c>
      <c r="R83" s="3" t="s">
        <v>53</v>
      </c>
    </row>
    <row r="84" customFormat="false" ht="35.05" hidden="false" customHeight="false" outlineLevel="0" collapsed="false">
      <c r="A84" s="2" t="s">
        <v>405</v>
      </c>
      <c r="B84" s="2" t="s">
        <v>372</v>
      </c>
      <c r="C84" s="2" t="s">
        <v>406</v>
      </c>
      <c r="D84" s="2" t="s">
        <v>407</v>
      </c>
      <c r="E84" s="3" t="s">
        <v>408</v>
      </c>
      <c r="F84" s="3" t="s">
        <v>23</v>
      </c>
      <c r="G84" s="4" t="s">
        <v>24</v>
      </c>
      <c r="H84" s="2" t="s">
        <v>381</v>
      </c>
      <c r="I84" s="2" t="s">
        <v>382</v>
      </c>
      <c r="J84" s="4" t="s">
        <v>27</v>
      </c>
      <c r="K84" s="4" t="s">
        <v>257</v>
      </c>
      <c r="L84" s="2" t="s">
        <v>29</v>
      </c>
      <c r="M84" s="3"/>
      <c r="N84" s="4" t="s">
        <v>44</v>
      </c>
      <c r="O84" s="4" t="s">
        <v>24</v>
      </c>
      <c r="P84" s="4" t="s">
        <v>24</v>
      </c>
      <c r="Q84" s="4" t="s">
        <v>45</v>
      </c>
      <c r="R84" s="3" t="s">
        <v>157</v>
      </c>
    </row>
    <row r="85" customFormat="false" ht="23.85" hidden="false" customHeight="false" outlineLevel="0" collapsed="false">
      <c r="A85" s="2" t="s">
        <v>409</v>
      </c>
      <c r="B85" s="2" t="s">
        <v>372</v>
      </c>
      <c r="C85" s="2" t="s">
        <v>410</v>
      </c>
      <c r="D85" s="2" t="s">
        <v>105</v>
      </c>
      <c r="E85" s="3" t="s">
        <v>106</v>
      </c>
      <c r="F85" s="3" t="s">
        <v>107</v>
      </c>
      <c r="G85" s="4" t="s">
        <v>24</v>
      </c>
      <c r="H85" s="2" t="s">
        <v>381</v>
      </c>
      <c r="I85" s="2" t="s">
        <v>382</v>
      </c>
      <c r="J85" s="4" t="s">
        <v>27</v>
      </c>
      <c r="K85" s="4" t="s">
        <v>257</v>
      </c>
      <c r="L85" s="2" t="s">
        <v>76</v>
      </c>
      <c r="M85" s="3" t="s">
        <v>377</v>
      </c>
      <c r="N85" s="4" t="s">
        <v>44</v>
      </c>
      <c r="O85" s="4" t="s">
        <v>24</v>
      </c>
      <c r="P85" s="4" t="s">
        <v>24</v>
      </c>
      <c r="Q85" s="4" t="s">
        <v>52</v>
      </c>
      <c r="R85" s="3" t="s">
        <v>53</v>
      </c>
    </row>
    <row r="86" customFormat="false" ht="23.85" hidden="false" customHeight="false" outlineLevel="0" collapsed="false">
      <c r="A86" s="2" t="s">
        <v>411</v>
      </c>
      <c r="B86" s="2" t="s">
        <v>412</v>
      </c>
      <c r="C86" s="2" t="s">
        <v>413</v>
      </c>
      <c r="D86" s="2" t="s">
        <v>21</v>
      </c>
      <c r="E86" s="3" t="s">
        <v>414</v>
      </c>
      <c r="F86" s="3" t="s">
        <v>320</v>
      </c>
      <c r="G86" s="4" t="s">
        <v>24</v>
      </c>
      <c r="H86" s="2" t="s">
        <v>415</v>
      </c>
      <c r="I86" s="2" t="s">
        <v>416</v>
      </c>
      <c r="J86" s="4" t="s">
        <v>27</v>
      </c>
      <c r="K86" s="4" t="s">
        <v>28</v>
      </c>
      <c r="L86" s="2" t="s">
        <v>29</v>
      </c>
      <c r="M86" s="3" t="s">
        <v>417</v>
      </c>
      <c r="N86" s="4" t="s">
        <v>44</v>
      </c>
      <c r="O86" s="4" t="s">
        <v>24</v>
      </c>
      <c r="P86" s="4" t="s">
        <v>24</v>
      </c>
      <c r="Q86" s="4" t="s">
        <v>52</v>
      </c>
      <c r="R86" s="3" t="s">
        <v>53</v>
      </c>
    </row>
    <row r="87" customFormat="false" ht="15" hidden="false" customHeight="false" outlineLevel="0" collapsed="false">
      <c r="A87" s="2" t="s">
        <v>418</v>
      </c>
      <c r="B87" s="2" t="s">
        <v>412</v>
      </c>
      <c r="C87" s="2" t="s">
        <v>419</v>
      </c>
      <c r="D87" s="2" t="s">
        <v>112</v>
      </c>
      <c r="E87" s="3" t="s">
        <v>420</v>
      </c>
      <c r="F87" s="3" t="s">
        <v>39</v>
      </c>
      <c r="G87" s="4" t="s">
        <v>24</v>
      </c>
      <c r="H87" s="2" t="s">
        <v>415</v>
      </c>
      <c r="I87" s="2" t="s">
        <v>416</v>
      </c>
      <c r="J87" s="4" t="s">
        <v>27</v>
      </c>
      <c r="K87" s="4" t="s">
        <v>257</v>
      </c>
      <c r="L87" s="2" t="s">
        <v>29</v>
      </c>
      <c r="M87" s="3" t="s">
        <v>417</v>
      </c>
      <c r="N87" s="4" t="s">
        <v>44</v>
      </c>
      <c r="O87" s="4" t="s">
        <v>24</v>
      </c>
      <c r="P87" s="4" t="s">
        <v>24</v>
      </c>
      <c r="Q87" s="4" t="s">
        <v>52</v>
      </c>
      <c r="R87" s="3" t="s">
        <v>53</v>
      </c>
    </row>
    <row r="88" customFormat="false" ht="23.85" hidden="false" customHeight="false" outlineLevel="0" collapsed="false">
      <c r="A88" s="2" t="s">
        <v>421</v>
      </c>
      <c r="B88" s="2" t="s">
        <v>412</v>
      </c>
      <c r="C88" s="2" t="s">
        <v>422</v>
      </c>
      <c r="D88" s="2" t="s">
        <v>116</v>
      </c>
      <c r="E88" s="3" t="s">
        <v>423</v>
      </c>
      <c r="F88" s="3" t="s">
        <v>23</v>
      </c>
      <c r="G88" s="4" t="s">
        <v>24</v>
      </c>
      <c r="H88" s="2" t="s">
        <v>415</v>
      </c>
      <c r="I88" s="2" t="s">
        <v>416</v>
      </c>
      <c r="J88" s="4" t="s">
        <v>27</v>
      </c>
      <c r="K88" s="4" t="s">
        <v>257</v>
      </c>
      <c r="L88" s="2" t="s">
        <v>43</v>
      </c>
      <c r="M88" s="3"/>
      <c r="N88" s="4" t="s">
        <v>44</v>
      </c>
      <c r="O88" s="4" t="s">
        <v>24</v>
      </c>
      <c r="P88" s="4" t="s">
        <v>24</v>
      </c>
      <c r="Q88" s="4" t="s">
        <v>45</v>
      </c>
      <c r="R88" s="3" t="s">
        <v>157</v>
      </c>
    </row>
    <row r="89" customFormat="false" ht="23.85" hidden="false" customHeight="false" outlineLevel="0" collapsed="false">
      <c r="A89" s="2" t="s">
        <v>424</v>
      </c>
      <c r="B89" s="2" t="s">
        <v>412</v>
      </c>
      <c r="C89" s="2" t="s">
        <v>425</v>
      </c>
      <c r="D89" s="2" t="s">
        <v>426</v>
      </c>
      <c r="E89" s="3" t="s">
        <v>427</v>
      </c>
      <c r="F89" s="3" t="s">
        <v>23</v>
      </c>
      <c r="G89" s="4" t="s">
        <v>24</v>
      </c>
      <c r="H89" s="2"/>
      <c r="I89" s="2" t="s">
        <v>416</v>
      </c>
      <c r="J89" s="4" t="s">
        <v>27</v>
      </c>
      <c r="K89" s="4" t="s">
        <v>257</v>
      </c>
      <c r="L89" s="2" t="s">
        <v>29</v>
      </c>
      <c r="M89" s="3" t="s">
        <v>417</v>
      </c>
      <c r="N89" s="4" t="s">
        <v>44</v>
      </c>
      <c r="O89" s="4" t="s">
        <v>24</v>
      </c>
      <c r="P89" s="4" t="s">
        <v>32</v>
      </c>
      <c r="Q89" s="4" t="s">
        <v>33</v>
      </c>
      <c r="R89" s="3" t="s">
        <v>305</v>
      </c>
    </row>
    <row r="90" customFormat="false" ht="23.85" hidden="false" customHeight="false" outlineLevel="0" collapsed="false">
      <c r="A90" s="2" t="s">
        <v>428</v>
      </c>
      <c r="B90" s="2" t="s">
        <v>412</v>
      </c>
      <c r="C90" s="2" t="s">
        <v>429</v>
      </c>
      <c r="D90" s="2" t="s">
        <v>430</v>
      </c>
      <c r="E90" s="3" t="s">
        <v>431</v>
      </c>
      <c r="F90" s="3" t="s">
        <v>75</v>
      </c>
      <c r="G90" s="4" t="s">
        <v>24</v>
      </c>
      <c r="H90" s="2" t="s">
        <v>415</v>
      </c>
      <c r="I90" s="2" t="s">
        <v>416</v>
      </c>
      <c r="J90" s="4" t="s">
        <v>27</v>
      </c>
      <c r="K90" s="4" t="s">
        <v>257</v>
      </c>
      <c r="L90" s="2" t="s">
        <v>76</v>
      </c>
      <c r="M90" s="3" t="s">
        <v>417</v>
      </c>
      <c r="N90" s="4" t="s">
        <v>44</v>
      </c>
      <c r="O90" s="4" t="s">
        <v>24</v>
      </c>
      <c r="P90" s="4" t="s">
        <v>24</v>
      </c>
      <c r="Q90" s="4" t="s">
        <v>52</v>
      </c>
      <c r="R90" s="3" t="s">
        <v>53</v>
      </c>
    </row>
    <row r="91" customFormat="false" ht="15" hidden="false" customHeight="false" outlineLevel="0" collapsed="false">
      <c r="A91" s="2" t="s">
        <v>432</v>
      </c>
      <c r="B91" s="2" t="s">
        <v>412</v>
      </c>
      <c r="C91" s="2" t="s">
        <v>433</v>
      </c>
      <c r="D91" s="2" t="s">
        <v>79</v>
      </c>
      <c r="E91" s="3" t="s">
        <v>434</v>
      </c>
      <c r="F91" s="3" t="s">
        <v>39</v>
      </c>
      <c r="G91" s="4" t="s">
        <v>24</v>
      </c>
      <c r="H91" s="2" t="s">
        <v>415</v>
      </c>
      <c r="I91" s="2" t="s">
        <v>416</v>
      </c>
      <c r="J91" s="4" t="s">
        <v>27</v>
      </c>
      <c r="K91" s="4" t="s">
        <v>257</v>
      </c>
      <c r="L91" s="2" t="s">
        <v>29</v>
      </c>
      <c r="M91" s="3" t="s">
        <v>417</v>
      </c>
      <c r="N91" s="4" t="s">
        <v>44</v>
      </c>
      <c r="O91" s="4" t="s">
        <v>24</v>
      </c>
      <c r="P91" s="4" t="s">
        <v>24</v>
      </c>
      <c r="Q91" s="4" t="s">
        <v>52</v>
      </c>
      <c r="R91" s="3" t="s">
        <v>53</v>
      </c>
    </row>
  </sheetData>
  <autoFilter ref="A1:R91"/>
  <conditionalFormatting sqref="Q2:Q91">
    <cfRule type="expression" priority="2" aboveAverage="0" equalAverage="0" bottom="0" percent="0" rank="0" text="" dxfId="9">
      <formula>$Q2="Approved"</formula>
    </cfRule>
    <cfRule type="expression" priority="3" aboveAverage="0" equalAverage="0" bottom="0" percent="0" rank="0" text="" dxfId="10">
      <formula>$Q2="Warning"</formula>
    </cfRule>
    <cfRule type="expression" priority="4" aboveAverage="0" equalAverage="0" bottom="0" percent="0" rank="0" text="" dxfId="11">
      <formula>$Q2="Blocked"</formula>
    </cfRule>
  </conditionalFormatting>
  <conditionalFormatting sqref="E2:P91">
    <cfRule type="expression" priority="5" aboveAverage="0" equalAverage="0" bottom="0" percent="0" rank="0" text="" dxfId="12">
      <formula>OR(LEN(E2)=0,E2="Missing",E2="Incomplete")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2"/>
    <col collapsed="false" customWidth="true" hidden="false" outlineLevel="0" max="4" min="4" style="0" width="3"/>
    <col collapsed="false" customWidth="true" hidden="false" outlineLevel="0" max="5" min="5" style="0" width="44"/>
    <col collapsed="false" customWidth="true" hidden="false" outlineLevel="0" max="7" min="6" style="0" width="14"/>
    <col collapsed="false" customWidth="true" hidden="false" outlineLevel="0" max="8" min="8" style="0" width="12"/>
  </cols>
  <sheetData>
    <row r="1" customFormat="false" ht="30" hidden="false" customHeight="true" outlineLevel="0" collapsed="false">
      <c r="A1" s="1" t="s">
        <v>16</v>
      </c>
      <c r="B1" s="1" t="s">
        <v>435</v>
      </c>
      <c r="C1" s="1" t="s">
        <v>436</v>
      </c>
      <c r="E1" s="1" t="s">
        <v>17</v>
      </c>
      <c r="F1" s="1" t="s">
        <v>16</v>
      </c>
      <c r="G1" s="1" t="s">
        <v>435</v>
      </c>
      <c r="H1" s="1" t="s">
        <v>436</v>
      </c>
    </row>
    <row r="2" customFormat="false" ht="15" hidden="false" customHeight="false" outlineLevel="0" collapsed="false">
      <c r="A2" s="5" t="s">
        <v>52</v>
      </c>
      <c r="B2" s="5" t="n">
        <f aca="false">COUNTIF(Product_Audit!$Q$2:$Q$91,A2)</f>
        <v>48</v>
      </c>
      <c r="C2" s="6" t="n">
        <f aca="false">B2/COUNTA(Product_Audit!$A$2:$A$91)</f>
        <v>0.533333333333333</v>
      </c>
      <c r="E2" s="5" t="s">
        <v>53</v>
      </c>
      <c r="F2" s="5" t="s">
        <v>52</v>
      </c>
      <c r="G2" s="5" t="n">
        <f aca="false">COUNTIF(Product_Audit!$R$2:$R$91,E2)</f>
        <v>48</v>
      </c>
      <c r="H2" s="6" t="n">
        <f aca="false">G2/COUNTA(Product_Audit!$A$2:$A$91)</f>
        <v>0.533333333333333</v>
      </c>
    </row>
    <row r="3" customFormat="false" ht="15" hidden="false" customHeight="false" outlineLevel="0" collapsed="false">
      <c r="A3" s="5" t="s">
        <v>45</v>
      </c>
      <c r="B3" s="5" t="n">
        <f aca="false">COUNTIF(Product_Audit!$Q$2:$Q$91,A3)</f>
        <v>18</v>
      </c>
      <c r="C3" s="6" t="n">
        <f aca="false">B3/COUNTA(Product_Audit!$A$2:$A$91)</f>
        <v>0.2</v>
      </c>
      <c r="E3" s="5" t="s">
        <v>93</v>
      </c>
      <c r="F3" s="5" t="s">
        <v>33</v>
      </c>
      <c r="G3" s="5" t="n">
        <f aca="false">COUNTIF(Product_Audit!$R$2:$R$91,E3)</f>
        <v>5</v>
      </c>
      <c r="H3" s="6" t="n">
        <f aca="false">G3/COUNTA(Product_Audit!$A$2:$A$91)</f>
        <v>0.0555555555555556</v>
      </c>
    </row>
    <row r="4" customFormat="false" ht="15" hidden="false" customHeight="false" outlineLevel="0" collapsed="false">
      <c r="A4" s="5" t="s">
        <v>33</v>
      </c>
      <c r="B4" s="5" t="n">
        <f aca="false">COUNTIF(Product_Audit!$Q$2:$Q$91,A4)</f>
        <v>24</v>
      </c>
      <c r="C4" s="6" t="n">
        <f aca="false">B4/COUNTA(Product_Audit!$A$2:$A$91)</f>
        <v>0.266666666666667</v>
      </c>
      <c r="E4" s="5" t="s">
        <v>109</v>
      </c>
      <c r="F4" s="5" t="s">
        <v>33</v>
      </c>
      <c r="G4" s="5" t="n">
        <f aca="false">COUNTIF(Product_Audit!$R$2:$R$91,E4)</f>
        <v>5</v>
      </c>
      <c r="H4" s="6" t="n">
        <f aca="false">G4/COUNTA(Product_Audit!$A$2:$A$91)</f>
        <v>0.0555555555555556</v>
      </c>
    </row>
    <row r="5" customFormat="false" ht="15" hidden="false" customHeight="false" outlineLevel="0" collapsed="false">
      <c r="E5" s="5" t="s">
        <v>270</v>
      </c>
      <c r="F5" s="5" t="s">
        <v>33</v>
      </c>
      <c r="G5" s="5" t="n">
        <f aca="false">COUNTIF(Product_Audit!$R$2:$R$91,E5)</f>
        <v>4</v>
      </c>
      <c r="H5" s="6" t="n">
        <f aca="false">G5/COUNTA(Product_Audit!$A$2:$A$91)</f>
        <v>0.0444444444444444</v>
      </c>
    </row>
    <row r="6" customFormat="false" ht="15" hidden="false" customHeight="false" outlineLevel="0" collapsed="false">
      <c r="E6" s="5" t="s">
        <v>305</v>
      </c>
      <c r="F6" s="5" t="s">
        <v>33</v>
      </c>
      <c r="G6" s="5" t="n">
        <f aca="false">COUNTIF(Product_Audit!$R$2:$R$91,E6)</f>
        <v>3</v>
      </c>
      <c r="H6" s="6" t="n">
        <f aca="false">G6/COUNTA(Product_Audit!$A$2:$A$91)</f>
        <v>0.0333333333333333</v>
      </c>
    </row>
    <row r="7" customFormat="false" ht="15" hidden="false" customHeight="false" outlineLevel="0" collapsed="false">
      <c r="E7" s="5" t="s">
        <v>167</v>
      </c>
      <c r="F7" s="5" t="s">
        <v>33</v>
      </c>
      <c r="G7" s="5" t="n">
        <f aca="false">COUNTIF(Product_Audit!$R$2:$R$91,E7)</f>
        <v>3</v>
      </c>
      <c r="H7" s="6" t="n">
        <f aca="false">G7/COUNTA(Product_Audit!$A$2:$A$91)</f>
        <v>0.0333333333333333</v>
      </c>
    </row>
    <row r="8" customFormat="false" ht="15" hidden="false" customHeight="false" outlineLevel="0" collapsed="false">
      <c r="E8" s="5" t="s">
        <v>34</v>
      </c>
      <c r="F8" s="5" t="s">
        <v>33</v>
      </c>
      <c r="G8" s="5" t="n">
        <f aca="false">COUNTIF(Product_Audit!$R$2:$R$91,E8)</f>
        <v>4</v>
      </c>
      <c r="H8" s="6" t="n">
        <f aca="false">G8/COUNTA(Product_Audit!$A$2:$A$91)</f>
        <v>0.0444444444444444</v>
      </c>
    </row>
    <row r="9" customFormat="false" ht="15" hidden="false" customHeight="false" outlineLevel="0" collapsed="false">
      <c r="E9" s="5" t="s">
        <v>70</v>
      </c>
      <c r="F9" s="5" t="s">
        <v>45</v>
      </c>
      <c r="G9" s="5" t="n">
        <f aca="false">COUNTIF(Product_Audit!$R$2:$R$91,E9)</f>
        <v>5</v>
      </c>
      <c r="H9" s="6" t="n">
        <f aca="false">G9/COUNTA(Product_Audit!$A$2:$A$91)</f>
        <v>0.0555555555555556</v>
      </c>
    </row>
    <row r="10" customFormat="false" ht="15" hidden="false" customHeight="false" outlineLevel="0" collapsed="false">
      <c r="E10" s="5" t="s">
        <v>46</v>
      </c>
      <c r="F10" s="5" t="s">
        <v>45</v>
      </c>
      <c r="G10" s="5" t="n">
        <f aca="false">COUNTIF(Product_Audit!$R$2:$R$91,E10)</f>
        <v>5</v>
      </c>
      <c r="H10" s="6" t="n">
        <f aca="false">G10/COUNTA(Product_Audit!$A$2:$A$91)</f>
        <v>0.0555555555555556</v>
      </c>
    </row>
    <row r="11" customFormat="false" ht="15" hidden="false" customHeight="false" outlineLevel="0" collapsed="false">
      <c r="E11" s="5" t="s">
        <v>82</v>
      </c>
      <c r="F11" s="5" t="s">
        <v>45</v>
      </c>
      <c r="G11" s="5" t="n">
        <f aca="false">COUNTIF(Product_Audit!$R$2:$R$91,E11)</f>
        <v>4</v>
      </c>
      <c r="H11" s="6" t="n">
        <f aca="false">G11/COUNTA(Product_Audit!$A$2:$A$91)</f>
        <v>0.0444444444444444</v>
      </c>
    </row>
    <row r="12" customFormat="false" ht="15" hidden="false" customHeight="false" outlineLevel="0" collapsed="false">
      <c r="E12" s="5" t="s">
        <v>157</v>
      </c>
      <c r="F12" s="5" t="s">
        <v>45</v>
      </c>
      <c r="G12" s="5" t="n">
        <f aca="false">COUNTIF(Product_Audit!$R$2:$R$91,E12)</f>
        <v>4</v>
      </c>
      <c r="H12" s="6" t="n">
        <f aca="false">G12/COUNTA(Product_Audit!$A$2:$A$91)</f>
        <v>0.0444444444444444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6" min="3" style="0" width="12"/>
    <col collapsed="false" customWidth="true" hidden="false" outlineLevel="0" max="7" min="7" style="0" width="15"/>
  </cols>
  <sheetData>
    <row r="1" customFormat="false" ht="30" hidden="false" customHeight="true" outlineLevel="0" collapsed="false">
      <c r="A1" s="1" t="s">
        <v>1</v>
      </c>
      <c r="B1" s="1" t="s">
        <v>437</v>
      </c>
      <c r="C1" s="1" t="s">
        <v>52</v>
      </c>
      <c r="D1" s="1" t="s">
        <v>45</v>
      </c>
      <c r="E1" s="1" t="s">
        <v>33</v>
      </c>
      <c r="F1" s="1" t="s">
        <v>438</v>
      </c>
      <c r="G1" s="1" t="s">
        <v>439</v>
      </c>
    </row>
    <row r="2" customFormat="false" ht="15" hidden="false" customHeight="false" outlineLevel="0" collapsed="false">
      <c r="A2" s="5" t="s">
        <v>19</v>
      </c>
      <c r="B2" s="5" t="n">
        <f aca="false">COUNTIF(Product_Audit!$B$2:$B$91,A2)</f>
        <v>28</v>
      </c>
      <c r="C2" s="5" t="n">
        <f aca="false">COUNTIFS(Product_Audit!$B$2:$B$91,$A2,Product_Audit!$Q$2:$Q$91,"Approved")</f>
        <v>15</v>
      </c>
      <c r="D2" s="5" t="n">
        <f aca="false">COUNTIFS(Product_Audit!$B$2:$B$91,$A2,Product_Audit!$Q$2:$Q$91,"Warning")</f>
        <v>6</v>
      </c>
      <c r="E2" s="5" t="n">
        <f aca="false">COUNTIFS(Product_Audit!$B$2:$B$91,$A2,Product_Audit!$Q$2:$Q$91,"Blocked")</f>
        <v>7</v>
      </c>
      <c r="F2" s="6" t="n">
        <f aca="false">IF(B2=0,0,E2/B2)</f>
        <v>0.25</v>
      </c>
      <c r="G2" s="6" t="n">
        <f aca="false">IF(B2=0,0,C2/B2)</f>
        <v>0.535714285714286</v>
      </c>
    </row>
    <row r="3" customFormat="false" ht="15" hidden="false" customHeight="false" outlineLevel="0" collapsed="false">
      <c r="A3" s="5" t="s">
        <v>177</v>
      </c>
      <c r="B3" s="5" t="n">
        <f aca="false">COUNTIF(Product_Audit!$B$2:$B$91,A3)</f>
        <v>18</v>
      </c>
      <c r="C3" s="5" t="n">
        <f aca="false">COUNTIFS(Product_Audit!$B$2:$B$91,$A3,Product_Audit!$Q$2:$Q$91,"Approved")</f>
        <v>10</v>
      </c>
      <c r="D3" s="5" t="n">
        <f aca="false">COUNTIFS(Product_Audit!$B$2:$B$91,$A3,Product_Audit!$Q$2:$Q$91,"Warning")</f>
        <v>3</v>
      </c>
      <c r="E3" s="5" t="n">
        <f aca="false">COUNTIFS(Product_Audit!$B$2:$B$91,$A3,Product_Audit!$Q$2:$Q$91,"Blocked")</f>
        <v>5</v>
      </c>
      <c r="F3" s="6" t="n">
        <f aca="false">IF(B3=0,0,E3/B3)</f>
        <v>0.277777777777778</v>
      </c>
      <c r="G3" s="6" t="n">
        <f aca="false">IF(B3=0,0,C3/B3)</f>
        <v>0.555555555555556</v>
      </c>
    </row>
    <row r="4" customFormat="false" ht="15" hidden="false" customHeight="false" outlineLevel="0" collapsed="false">
      <c r="A4" s="5" t="s">
        <v>251</v>
      </c>
      <c r="B4" s="5" t="n">
        <f aca="false">COUNTIF(Product_Audit!$B$2:$B$91,A4)</f>
        <v>16</v>
      </c>
      <c r="C4" s="5" t="n">
        <f aca="false">COUNTIFS(Product_Audit!$B$2:$B$91,$A4,Product_Audit!$Q$2:$Q$91,"Approved")</f>
        <v>8</v>
      </c>
      <c r="D4" s="5" t="n">
        <f aca="false">COUNTIFS(Product_Audit!$B$2:$B$91,$A4,Product_Audit!$Q$2:$Q$91,"Warning")</f>
        <v>3</v>
      </c>
      <c r="E4" s="5" t="n">
        <f aca="false">COUNTIFS(Product_Audit!$B$2:$B$91,$A4,Product_Audit!$Q$2:$Q$91,"Blocked")</f>
        <v>5</v>
      </c>
      <c r="F4" s="6" t="n">
        <f aca="false">IF(B4=0,0,E4/B4)</f>
        <v>0.3125</v>
      </c>
      <c r="G4" s="6" t="n">
        <f aca="false">IF(B4=0,0,C4/B4)</f>
        <v>0.5</v>
      </c>
    </row>
    <row r="5" customFormat="false" ht="15" hidden="false" customHeight="false" outlineLevel="0" collapsed="false">
      <c r="A5" s="5" t="s">
        <v>325</v>
      </c>
      <c r="B5" s="5" t="n">
        <f aca="false">COUNTIF(Product_Audit!$B$2:$B$91,A5)</f>
        <v>12</v>
      </c>
      <c r="C5" s="5" t="n">
        <f aca="false">COUNTIFS(Product_Audit!$B$2:$B$91,$A5,Product_Audit!$Q$2:$Q$91,"Approved")</f>
        <v>6</v>
      </c>
      <c r="D5" s="5" t="n">
        <f aca="false">COUNTIFS(Product_Audit!$B$2:$B$91,$A5,Product_Audit!$Q$2:$Q$91,"Warning")</f>
        <v>3</v>
      </c>
      <c r="E5" s="5" t="n">
        <f aca="false">COUNTIFS(Product_Audit!$B$2:$B$91,$A5,Product_Audit!$Q$2:$Q$91,"Blocked")</f>
        <v>3</v>
      </c>
      <c r="F5" s="6" t="n">
        <f aca="false">IF(B5=0,0,E5/B5)</f>
        <v>0.25</v>
      </c>
      <c r="G5" s="6" t="n">
        <f aca="false">IF(B5=0,0,C5/B5)</f>
        <v>0.5</v>
      </c>
    </row>
    <row r="6" customFormat="false" ht="15" hidden="false" customHeight="false" outlineLevel="0" collapsed="false">
      <c r="A6" s="5" t="s">
        <v>372</v>
      </c>
      <c r="B6" s="5" t="n">
        <f aca="false">COUNTIF(Product_Audit!$B$2:$B$91,A6)</f>
        <v>10</v>
      </c>
      <c r="C6" s="5" t="n">
        <f aca="false">COUNTIFS(Product_Audit!$B$2:$B$91,$A6,Product_Audit!$Q$2:$Q$91,"Approved")</f>
        <v>5</v>
      </c>
      <c r="D6" s="5" t="n">
        <f aca="false">COUNTIFS(Product_Audit!$B$2:$B$91,$A6,Product_Audit!$Q$2:$Q$91,"Warning")</f>
        <v>2</v>
      </c>
      <c r="E6" s="5" t="n">
        <f aca="false">COUNTIFS(Product_Audit!$B$2:$B$91,$A6,Product_Audit!$Q$2:$Q$91,"Blocked")</f>
        <v>3</v>
      </c>
      <c r="F6" s="6" t="n">
        <f aca="false">IF(B6=0,0,E6/B6)</f>
        <v>0.3</v>
      </c>
      <c r="G6" s="6" t="n">
        <f aca="false">IF(B6=0,0,C6/B6)</f>
        <v>0.5</v>
      </c>
    </row>
    <row r="7" customFormat="false" ht="15" hidden="false" customHeight="false" outlineLevel="0" collapsed="false">
      <c r="A7" s="5" t="s">
        <v>412</v>
      </c>
      <c r="B7" s="5" t="n">
        <f aca="false">COUNTIF(Product_Audit!$B$2:$B$91,A7)</f>
        <v>6</v>
      </c>
      <c r="C7" s="5" t="n">
        <f aca="false">COUNTIFS(Product_Audit!$B$2:$B$91,$A7,Product_Audit!$Q$2:$Q$91,"Approved")</f>
        <v>4</v>
      </c>
      <c r="D7" s="5" t="n">
        <f aca="false">COUNTIFS(Product_Audit!$B$2:$B$91,$A7,Product_Audit!$Q$2:$Q$91,"Warning")</f>
        <v>1</v>
      </c>
      <c r="E7" s="5" t="n">
        <f aca="false">COUNTIFS(Product_Audit!$B$2:$B$91,$A7,Product_Audit!$Q$2:$Q$91,"Blocked")</f>
        <v>1</v>
      </c>
      <c r="F7" s="6" t="n">
        <f aca="false">IF(B7=0,0,E7/B7)</f>
        <v>0.166666666666667</v>
      </c>
      <c r="G7" s="6" t="n">
        <f aca="false">IF(B7=0,0,C7/B7)</f>
        <v>0.666666666666667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2026-09-24T21:07:55Z</dcterms:created>
  <dc:creator>openpyxl</dc:creator>
  <dc:description/>
  <dc:language>en-US</dc:language>
  <cp:lastModifiedBy/>
  <dcterms:modified xsi:type="dcterms:W3CDTF">2026-09-24T21:07:55Z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